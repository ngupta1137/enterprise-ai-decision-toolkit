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corecard" sheetId="2" state="visible" r:id="rId4"/>
    <sheet name="Summary" sheetId="3" state="visible" r:id="rId5"/>
    <sheet name="Reference" sheetId="4" state="visible" r:id="rId6"/>
  </sheets>
  <definedNames>
    <definedName function="false" hidden="false" localSheetId="1" name="_xlnm.Print_Titles" vbProcedure="false">Scorecard!$3:$3</definedName>
    <definedName function="false" hidden="true" localSheetId="1" name="_xlnm._FilterDatabase" vbProcedure="false">Scorecard!$A$3:$N$40</definedName>
    <definedName function="false" hidden="false" name="HeldState" vbProcedure="false">'Start here'!$C$11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<sst xmlns="http://schemas.openxmlformats.org/spreadsheetml/2006/main" count="515" uniqueCount="462">
  <si>
    <t xml:space="preserve">Agentic AI Production Readiness Scorecard</t>
  </si>
  <si>
    <t xml:space="preserve">Scoring workbook · Version 1.1 · October 2026 · Nitin Gupta · Enterprise AI Decision Toolkit</t>
  </si>
  <si>
    <t xml:space="preserve">WORKED EXAMPLE. Every name, figure and score below is fictional and illustrative, not a benchmark.</t>
  </si>
  <si>
    <t xml:space="preserve">The system being scored</t>
  </si>
  <si>
    <t xml:space="preserve">System name</t>
  </si>
  <si>
    <t xml:space="preserve">Invoice-matching agent, accounts payable (fictional)</t>
  </si>
  <si>
    <t xml:space="preserve">Action types in scope</t>
  </si>
  <si>
    <t xml:space="preserve">Flag three-way matches for clerk approval</t>
  </si>
  <si>
    <t xml:space="preserve">Assessment date</t>
  </si>
  <si>
    <t xml:space="preserve">2026-03-31</t>
  </si>
  <si>
    <t xml:space="preserve">Facilitator (not on the build team)</t>
  </si>
  <si>
    <t xml:space="preserve">Internal audit lead (not on the build team)</t>
  </si>
  <si>
    <t xml:space="preserve">Authority the system holds today</t>
  </si>
  <si>
    <t xml:space="preserve">Recommend</t>
  </si>
  <si>
    <t xml:space="preserve">How to use this workbook</t>
  </si>
  <si>
    <t xml:space="preserve">1. Score one system</t>
  </si>
  <si>
    <t xml:space="preserve">Score one agentic AI system as it runs today. Do not score plans, roadmaps or work in progress.</t>
  </si>
  <si>
    <t xml:space="preserve">2. Enter scores</t>
  </si>
  <si>
    <t xml:space="preserve">On the Scorecard sheet, enter 0, 1, 2 or 3 in the yellow Score column for all 37 criteria. Record the evidence shown and where it lives.</t>
  </si>
  <si>
    <t xml:space="preserve">3. Read the result</t>
  </si>
  <si>
    <t xml:space="preserve">The Summary sheet totals the score, applies the six gates, names the readiness band and the maximum authority state, and compares it with the authority the system holds today.</t>
  </si>
  <si>
    <t xml:space="preserve">4. Act on the gap</t>
  </si>
  <si>
    <t xml:space="preserve">If the system holds more authority than its band allows, the authority owner restricts it now or accepts the gap in writing within one week.</t>
  </si>
  <si>
    <t xml:space="preserve">Scoring rules</t>
  </si>
  <si>
    <t xml:space="preserve">No evidence, no points</t>
  </si>
  <si>
    <t xml:space="preserve">Every score above 0 must be backed by something the team can show in the room. "We do that" without evidence scores 0.</t>
  </si>
  <si>
    <t xml:space="preserve">Lowest true anchor</t>
  </si>
  <si>
    <t xml:space="preserve">Award the highest anchor where every condition is true. Anchors are cumulative: a 3 requires everything in the 2.</t>
  </si>
  <si>
    <t xml:space="preserve">When in doubt, score lower</t>
  </si>
  <si>
    <t xml:space="preserve">Disagreements that evidence cannot settle are scored at the lower value and logged as an action.</t>
  </si>
  <si>
    <t xml:space="preserve">Gates cap the band</t>
  </si>
  <si>
    <t xml:space="preserve">Six criteria are gates. They add no points, but they cap the readiness band whatever the total.</t>
  </si>
  <si>
    <t xml:space="preserve">Legend</t>
  </si>
  <si>
    <t xml:space="preserve">Yellow cells</t>
  </si>
  <si>
    <t xml:space="preserve">Inputs. Everything else is calculated or reference text.</t>
  </si>
  <si>
    <t xml:space="preserve">Rose rows</t>
  </si>
  <si>
    <t xml:space="preserve">Gate criteria.</t>
  </si>
  <si>
    <t xml:space="preserve">The written scorecard (SCORECARD.md) is the authority. If this workbook and the written scorecard ever disagree, the written scorecard wins. No macros. Not a certification, a legal opinion or a compliance program.</t>
  </si>
  <si>
    <t xml:space="preserve">github.com/ngupta1137/enterprise-ai-decision-toolkit · doi.org/10.5281/zenodo.23464328 · MIT license</t>
  </si>
  <si>
    <t xml:space="preserve">Scorecard: enter one score per criterion in the yellow column. Evidence or zero.</t>
  </si>
  <si>
    <t xml:space="preserve">ID</t>
  </si>
  <si>
    <t xml:space="preserve">Category</t>
  </si>
  <si>
    <t xml:space="preserve">Criterion</t>
  </si>
  <si>
    <t xml:space="preserve">Gate</t>
  </si>
  <si>
    <t xml:space="preserve">What it tests</t>
  </si>
  <si>
    <t xml:space="preserve">Anchor 0</t>
  </si>
  <si>
    <t xml:space="preserve">Anchor 1</t>
  </si>
  <si>
    <t xml:space="preserve">Anchor 2</t>
  </si>
  <si>
    <t xml:space="preserve">Anchor 3</t>
  </si>
  <si>
    <t xml:space="preserve">Score (0-3)</t>
  </si>
  <si>
    <t xml:space="preserve">Maturity level</t>
  </si>
  <si>
    <t xml:space="preserve">Evidence shown</t>
  </si>
  <si>
    <t xml:space="preserve">Where the evidence lives</t>
  </si>
  <si>
    <t xml:space="preserve">Action, owner, date</t>
  </si>
  <si>
    <t xml:space="preserve">1.1</t>
  </si>
  <si>
    <t xml:space="preserve">1. Authorization and Decision Rights</t>
  </si>
  <si>
    <t xml:space="preserve">Written authority boundary</t>
  </si>
  <si>
    <t xml:space="preserve">GATE</t>
  </si>
  <si>
    <t xml:space="preserve">The system's permitted actions are written down: every system it can write to, every action type it can take, and numeric limits on those actions.</t>
  </si>
  <si>
    <t xml:space="preserve">No written list of permitted actions exists.</t>
  </si>
  <si>
    <t xml:space="preserve">A written description exists, but it has no numeric limits (value, volume, or record count), or it omits at least one system the agent can write to.</t>
  </si>
  <si>
    <t xml:space="preserve">The written list covers every system the agent can write to, every action type, and numeric limits for each, and the accountable decision owner (1.2) has approved it.</t>
  </si>
  <si>
    <t xml:space="preserve">As 2, and the limits are enforced in code or platform configuration, and the document is version-controlled with dated changes.</t>
  </si>
  <si>
    <t xml:space="preserve">Signed boundary: match flags only, invoices under $5,000, one finance instance</t>
  </si>
  <si>
    <t xml:space="preserve">Governance site / AP-agent / boundary v3</t>
  </si>
  <si>
    <t xml:space="preserve">1.2</t>
  </si>
  <si>
    <t xml:space="preserve">Named authority owner</t>
  </si>
  <si>
    <t xml:space="preserve">One named individual holds the right to approve, expand, restrict, or revoke this system's authority.</t>
  </si>
  <si>
    <t xml:space="preserve">No one is named, or the answer depends on who is asked.</t>
  </si>
  <si>
    <t xml:space="preserve">A team or committee is named, but no single individual.</t>
  </si>
  <si>
    <t xml:space="preserve">A named individual is recorded as holding that right, and the record states all four powers: approve, expand, restrict, revoke.</t>
  </si>
  <si>
    <t xml:space="preserve">As 2, and a named backup exists, and both are listed in an enterprise governance register or AI inventory.</t>
  </si>
  <si>
    <t xml:space="preserve">AP controller named with approve, expand, restrict, revoke</t>
  </si>
  <si>
    <t xml:space="preserve">Authority register entry AP-01</t>
  </si>
  <si>
    <t xml:space="preserve">Name a backup (owner: AP controller, by 30 Apr)</t>
  </si>
  <si>
    <t xml:space="preserve">1.3</t>
  </si>
  <si>
    <t xml:space="preserve">Current authority state recorded</t>
  </si>
  <si>
    <t xml:space="preserve">The system's authority is recorded as one of five states for each action type: observe, recommend, act with approval, bounded autonomy, expanded autonomy.</t>
  </si>
  <si>
    <t xml:space="preserve">No authority state is recorded.</t>
  </si>
  <si>
    <t xml:space="preserve">One label is recorded for the whole system, regardless of action type.</t>
  </si>
  <si>
    <t xml:space="preserve">A state is recorded for each action type the system can take.</t>
  </si>
  <si>
    <t xml:space="preserve">As 2, and states are recorded separately for each market or business unit where they differ, with the date each state last changed.</t>
  </si>
  <si>
    <t xml:space="preserve">State recorded per action type</t>
  </si>
  <si>
    <t xml:space="preserve">Agent register</t>
  </si>
  <si>
    <t xml:space="preserve">1.4</t>
  </si>
  <si>
    <t xml:space="preserve">Promotion criteria set in advance</t>
  </si>
  <si>
    <t xml:space="preserve">The evidence required to move to a higher authority state was written down before the current state was granted.</t>
  </si>
  <si>
    <t xml:space="preserve">No promotion criteria exist.</t>
  </si>
  <si>
    <t xml:space="preserve">Criteria are described in words with no measurable thresholds, or were written after the promotion.</t>
  </si>
  <si>
    <t xml:space="preserve">Measurable thresholds and a minimum volume of evidence were written down before the current authority state was granted.</t>
  </si>
  <si>
    <t xml:space="preserve">As 2, and the most recent promotion decision is recorded with the actual evidence compared against those thresholds.</t>
  </si>
  <si>
    <t xml:space="preserve">Thresholds written before Recommend was granted: 98% agreement on 1,000+ invoices</t>
  </si>
  <si>
    <t xml:space="preserve">Authority Change Record AP-001</t>
  </si>
  <si>
    <t xml:space="preserve">1.5</t>
  </si>
  <si>
    <t xml:space="preserve">Demotion and revocation triggers</t>
  </si>
  <si>
    <t xml:space="preserve">Specific conditions that reduce or remove the system's authority are written down, with the required response for each.</t>
  </si>
  <si>
    <t xml:space="preserve">No triggers exist.</t>
  </si>
  <si>
    <t xml:space="preserve">Triggers are informal ("we would pull it if something went badly wrong") or have no thresholds.</t>
  </si>
  <si>
    <t xml:space="preserve">Written triggers exist with measurable thresholds, and each trigger names the required response (restrict, pause, or revoke) and who executes it.</t>
  </si>
  <si>
    <t xml:space="preserve">As 2, and at least one trigger has been exercised in production or in a recorded drill within the last 12 months.</t>
  </si>
  <si>
    <t xml:space="preserve">Triggers: any duplicate payment; weekly sampling below 98%</t>
  </si>
  <si>
    <t xml:space="preserve">Authority Change Record AP-001, section E</t>
  </si>
  <si>
    <t xml:space="preserve">Run a demotion drill (owner: technical owner, by 31 May)</t>
  </si>
  <si>
    <t xml:space="preserve">1.6</t>
  </si>
  <si>
    <t xml:space="preserve">Enforced approval for high-consequence actions</t>
  </si>
  <si>
    <t xml:space="preserve">Actions above a defined consequence threshold require human approval, and the system enforces it.</t>
  </si>
  <si>
    <t xml:space="preserve">No approval step exists for any action.</t>
  </si>
  <si>
    <t xml:space="preserve">Approval is required by policy, but the system can execute without it.</t>
  </si>
  <si>
    <t xml:space="preserve">The system cannot execute defined high-consequence action classes without a recorded approval.</t>
  </si>
  <si>
    <t xml:space="preserve">As 2, and each approval record captures approver identity, timestamp, and the evidence the approver was shown.</t>
  </si>
  <si>
    <t xml:space="preserve">Every match approved by a clerk; approver, time and evidence captured</t>
  </si>
  <si>
    <t xml:space="preserve">Workflow audit table</t>
  </si>
  <si>
    <t xml:space="preserve">2.1</t>
  </si>
  <si>
    <t xml:space="preserve">2. Data Governance</t>
  </si>
  <si>
    <t xml:space="preserve">Data source inventory</t>
  </si>
  <si>
    <t xml:space="preserve">Every data source the system can read from or write to is listed with an owner and a classification.</t>
  </si>
  <si>
    <t xml:space="preserve">No list exists.</t>
  </si>
  <si>
    <t xml:space="preserve">A list exists but is missing sources, owners, or classifications.</t>
  </si>
  <si>
    <t xml:space="preserve">A complete list exists, with a named owner and a data classification for every source.</t>
  </si>
  <si>
    <t xml:space="preserve">As 2, and the list is reconciled against actual access (from logs or access records) at least quarterly.</t>
  </si>
  <si>
    <t xml:space="preserve">ERP, PO, goods receipt and supplier master listed with owners</t>
  </si>
  <si>
    <t xml:space="preserve">Data inventory v2</t>
  </si>
  <si>
    <t xml:space="preserve">2.2</t>
  </si>
  <si>
    <t xml:space="preserve">Least-privilege access</t>
  </si>
  <si>
    <t xml:space="preserve">The system's credentials grant only the access it needs.</t>
  </si>
  <si>
    <t xml:space="preserve">The system uses shared, human, or administrator credentials.</t>
  </si>
  <si>
    <t xml:space="preserve">The system has dedicated credentials, but they grant access beyond the sources in 2.1 or do not separate read from write.</t>
  </si>
  <si>
    <t xml:space="preserve">Credentials are scoped to the sources in 2.1, with read and write permissions separated.</t>
  </si>
  <si>
    <t xml:space="preserve">As 2, and access is reviewed at least quarterly, with unused permissions removed and the removal recorded.</t>
  </si>
  <si>
    <t xml:space="preserve">Dedicated service identity, read and write separated</t>
  </si>
  <si>
    <t xml:space="preserve">Identity provider export</t>
  </si>
  <si>
    <t xml:space="preserve">2.3</t>
  </si>
  <si>
    <t xml:space="preserve">Sensitive data controls</t>
  </si>
  <si>
    <t xml:space="preserve">Personal, regulated, or confidential data is protected by technical controls, not only policy.</t>
  </si>
  <si>
    <t xml:space="preserve">No rules exist for sensitive data in this system.</t>
  </si>
  <si>
    <t xml:space="preserve">A policy exists, but no technical control enforces it.</t>
  </si>
  <si>
    <t xml:space="preserve">Technical controls (masking, filtering, or redaction) cover defined sensitive fields, and a test shows they work.</t>
  </si>
  <si>
    <t xml:space="preserve">As 2, and those tests run automatically before every release, and any failures are tracked as incidents.</t>
  </si>
  <si>
    <t xml:space="preserve">Bank details masked in prompts; test passes</t>
  </si>
  <si>
    <t xml:space="preserve">Masking test report</t>
  </si>
  <si>
    <t xml:space="preserve">2.4</t>
  </si>
  <si>
    <t xml:space="preserve">Provider data terms confirmed</t>
  </si>
  <si>
    <t xml:space="preserve">For every model and tool provider in the system's path, the team knows in writing whether the provider trains on, retains, or relocates enterprise data.</t>
  </si>
  <si>
    <t xml:space="preserve">Unknown for at least one provider.</t>
  </si>
  <si>
    <t xml:space="preserve">Based on marketing material or verbal assurance for at least one provider.</t>
  </si>
  <si>
    <t xml:space="preserve">Confirmed in a contract or data processing agreement for every provider in the path.</t>
  </si>
  <si>
    <t xml:space="preserve">As 2, and contracts require advance notice of changes to these terms, and the terms were reviewed within the last 12 months.</t>
  </si>
  <si>
    <t xml:space="preserve">Provider DPA confirms no training, 30-day retention</t>
  </si>
  <si>
    <t xml:space="preserve">Contract folder</t>
  </si>
  <si>
    <t xml:space="preserve">2.5</t>
  </si>
  <si>
    <t xml:space="preserve">Data residency and cross-border flows</t>
  </si>
  <si>
    <t xml:space="preserve">Where data travels is mapped for every market the system operates in.</t>
  </si>
  <si>
    <t xml:space="preserve">Data flows are not mapped.</t>
  </si>
  <si>
    <t xml:space="preserve">Mapped for the primary model only.</t>
  </si>
  <si>
    <t xml:space="preserve">Mapped for every component (model, retrieval store, logs, tools) in every market where the system operates.</t>
  </si>
  <si>
    <t xml:space="preserve">As 2, and legal or privacy has signed off each market's data flows, with a dated record.</t>
  </si>
  <si>
    <t xml:space="preserve">Model data flow mapped; logs and retrieval store not mapped</t>
  </si>
  <si>
    <t xml:space="preserve">Privacy review notes</t>
  </si>
  <si>
    <t xml:space="preserve">Map all components (owner: privacy, by 30 Apr)</t>
  </si>
  <si>
    <t xml:space="preserve">3.1</t>
  </si>
  <si>
    <t xml:space="preserve">3. Evaluation and Testing</t>
  </si>
  <si>
    <t xml:space="preserve">Enterprise-owned evaluation set</t>
  </si>
  <si>
    <t xml:space="preserve">The team has its own test cases, built from its own tasks, not the vendor's demo set.</t>
  </si>
  <si>
    <t xml:space="preserve">No evaluation set exists; quality is judged from demos or anecdotes.</t>
  </si>
  <si>
    <t xml:space="preserve">An evaluation set exists, but it was supplied by the vendor, or it does not cover every action type.</t>
  </si>
  <si>
    <t xml:space="preserve">The enterprise owns an evaluation set with at least 20 cases per action type, drawn from real or realistic tasks, including documented edge cases and expected outcomes.</t>
  </si>
  <si>
    <t xml:space="preserve">As 2, and the set is refreshed with sampled production cases at least quarterly.</t>
  </si>
  <si>
    <t xml:space="preserve">240 enterprise cases, including near-matches, partial deliveries and price variances</t>
  </si>
  <si>
    <t xml:space="preserve">Evaluation set v4</t>
  </si>
  <si>
    <t xml:space="preserve">3.2</t>
  </si>
  <si>
    <t xml:space="preserve">Pass thresholds set before testing</t>
  </si>
  <si>
    <t xml:space="preserve">Quality thresholds were written down before results were seen.</t>
  </si>
  <si>
    <t xml:space="preserve">No thresholds exist.</t>
  </si>
  <si>
    <t xml:space="preserve">Thresholds exist but were set after seeing results, or are not written down.</t>
  </si>
  <si>
    <t xml:space="preserve">Written thresholds exist for each action type, set before testing and approved by the authority owner (1.2).</t>
  </si>
  <si>
    <t xml:space="preserve">As 2, and thresholds are stricter for irreversible or high-consequence action types, with the reasoning documented.</t>
  </si>
  <si>
    <t xml:space="preserve">Thresholds approved by the AP controller before testing</t>
  </si>
  <si>
    <t xml:space="preserve">Test plan sign-off</t>
  </si>
  <si>
    <t xml:space="preserve">3.3</t>
  </si>
  <si>
    <t xml:space="preserve">Regression testing on every change</t>
  </si>
  <si>
    <t xml:space="preserve">Any change to the model version, prompts, tools, retrieval, or configuration triggers a re-run of the evaluation set.</t>
  </si>
  <si>
    <t xml:space="preserve">No regression testing happens.</t>
  </si>
  <si>
    <t xml:space="preserve">Testing happens for some changes, manually, at the team's discretion.</t>
  </si>
  <si>
    <t xml:space="preserve">Every change requires a regression run before release, and results are recorded.</t>
  </si>
  <si>
    <t xml:space="preserve">As 2, and the run is automated in the release pipeline, and a failed run blocks the release.</t>
  </si>
  <si>
    <t xml:space="preserve">Regression run required before every release</t>
  </si>
  <si>
    <t xml:space="preserve">Release checklist</t>
  </si>
  <si>
    <t xml:space="preserve">3.4</t>
  </si>
  <si>
    <t xml:space="preserve">Adversarial and safety testing</t>
  </si>
  <si>
    <t xml:space="preserve">The system is tested against misuse, not just normal use.</t>
  </si>
  <si>
    <t xml:space="preserve">No adversarial testing has been done.</t>
  </si>
  <si>
    <t xml:space="preserve">Informal attempts only, with no documented test cases.</t>
  </si>
  <si>
    <t xml:space="preserve">A documented test suite covers prompt injection, attempts to exceed the authority boundary in 1.1, and data leakage, and it was run before launch.</t>
  </si>
  <si>
    <t xml:space="preserve">As 2, and it runs on every release, and someone outside the build team has tested the system within the last 12 months.</t>
  </si>
  <si>
    <t xml:space="preserve">Informal injection attempts only; duplicate-payment scenario never tested</t>
  </si>
  <si>
    <t xml:space="preserve">None</t>
  </si>
  <si>
    <t xml:space="preserve">Build adversarial suite incl. duplicate payment (owner: tech lead, by 15 May)</t>
  </si>
  <si>
    <t xml:space="preserve">3.5</t>
  </si>
  <si>
    <t xml:space="preserve">Production quality sampling</t>
  </si>
  <si>
    <t xml:space="preserve">Live outputs are reviewed against the same standard used before launch.</t>
  </si>
  <si>
    <t xml:space="preserve">No production review happens.</t>
  </si>
  <si>
    <t xml:space="preserve">Occasional review with no defined sample size or cadence.</t>
  </si>
  <si>
    <t xml:space="preserve">A defined sample is reviewed on a defined cadence and scored with the pre-launch rubric.</t>
  </si>
  <si>
    <t xml:space="preserve">As 2, and results are trended over time and presented at the authority review (7.5).</t>
  </si>
  <si>
    <t xml:space="preserve">Weekly sample of 50 matches scored by clerks with the pre-launch rubric</t>
  </si>
  <si>
    <t xml:space="preserve">Sampling dashboard</t>
  </si>
  <si>
    <t xml:space="preserve">4.1</t>
  </si>
  <si>
    <t xml:space="preserve">4. Observability and Audit</t>
  </si>
  <si>
    <t xml:space="preserve">Complete action trace</t>
  </si>
  <si>
    <t xml:space="preserve">Every state-changing action is logged with: the trigger, the agent identity, the model and version, a reference to the inputs and retrieved context, every tool call, any approval, and the outcome.</t>
  </si>
  <si>
    <t xml:space="preserve">No action-level logging exists.</t>
  </si>
  <si>
    <t xml:space="preserve">Some of these fields are logged, or logging covers only some actions.</t>
  </si>
  <si>
    <t xml:space="preserve">All listed fields are captured for every state-changing action.</t>
  </si>
  <si>
    <t xml:space="preserve">As 2, and logs are tamper-evident or immutable, and retention meets the enterprise's written policy.</t>
  </si>
  <si>
    <t xml:space="preserve">All fields logged for every match flag</t>
  </si>
  <si>
    <t xml:space="preserve">Trace store</t>
  </si>
  <si>
    <t xml:space="preserve">4.2</t>
  </si>
  <si>
    <t xml:space="preserve">Reconstruction drill</t>
  </si>
  <si>
    <t xml:space="preserve">The team can reconstruct a specific past action end to end.</t>
  </si>
  <si>
    <t xml:space="preserve">Never attempted, or not possible.</t>
  </si>
  <si>
    <t xml:space="preserve">Possible, but it took engineers more than one business day.</t>
  </si>
  <si>
    <t xml:space="preserve">Done within one business day, and demonstrated within the last 6 months.</t>
  </si>
  <si>
    <t xml:space="preserve">Done within one hour using standard tooling, by someone outside the build team.</t>
  </si>
  <si>
    <t xml:space="preserve">Reconstruction done in 4 hours, February</t>
  </si>
  <si>
    <t xml:space="preserve">Drill record</t>
  </si>
  <si>
    <t xml:space="preserve">4.3</t>
  </si>
  <si>
    <t xml:space="preserve">Quality and drift alerting</t>
  </si>
  <si>
    <t xml:space="preserve">The system is monitored for quality, not only uptime.</t>
  </si>
  <si>
    <t xml:space="preserve">Only availability and latency are monitored.</t>
  </si>
  <si>
    <t xml:space="preserve">Quality metrics exist but nobody is alerted when they cross a threshold.</t>
  </si>
  <si>
    <t xml:space="preserve">Quality metrics have thresholds, and alerts go to a named owner.</t>
  </si>
  <si>
    <t xml:space="preserve">As 2, and input drift (change in the data the system sees) is also monitored, and alert routing has been tested.</t>
  </si>
  <si>
    <t xml:space="preserve">Agreement tracked; no alert threshold set</t>
  </si>
  <si>
    <t xml:space="preserve">Dashboard</t>
  </si>
  <si>
    <t xml:space="preserve">Set alert at 98.5% (owner: tech lead, by 30 Apr)</t>
  </si>
  <si>
    <t xml:space="preserve">4.4</t>
  </si>
  <si>
    <t xml:space="preserve">Human oversight metrics</t>
  </si>
  <si>
    <t xml:space="preserve">The team measures how human reviewers behave, not just how the system behaves.</t>
  </si>
  <si>
    <t xml:space="preserve">Approval rates, override rates, and review times are not tracked.</t>
  </si>
  <si>
    <t xml:space="preserve">Tracked, but not reviewed.</t>
  </si>
  <si>
    <t xml:space="preserve">Reviewed on a defined cadence by a named owner.</t>
  </si>
  <si>
    <t xml:space="preserve">As 2, and defined thresholds (for example, an approval rate above a set level, or review times below a set level) trigger a check on whether reviewers are still genuinely reviewing.</t>
  </si>
  <si>
    <t xml:space="preserve">Approval and override rates reviewed monthly</t>
  </si>
  <si>
    <t xml:space="preserve">Ops review minutes</t>
  </si>
  <si>
    <t xml:space="preserve">4.5</t>
  </si>
  <si>
    <t xml:space="preserve">Cost per completed action</t>
  </si>
  <si>
    <t xml:space="preserve">The team knows what one acceptable, completed action actually costs.</t>
  </si>
  <si>
    <t xml:space="preserve">Cost is not tracked for this system.</t>
  </si>
  <si>
    <t xml:space="preserve">Only cost per model call or per token is tracked.</t>
  </si>
  <si>
    <t xml:space="preserve">Fully loaded cost per accepted, completed action is tracked, including retries, human review time, and rework.</t>
  </si>
  <si>
    <t xml:space="preserve">As 2, and it is tracked against a written cost ceiling, with an alert when exceeded.</t>
  </si>
  <si>
    <t xml:space="preserve">True cost $0.40 per accepted match, including clerk review</t>
  </si>
  <si>
    <t xml:space="preserve">True Cost worksheet, March</t>
  </si>
  <si>
    <t xml:space="preserve">5.1</t>
  </si>
  <si>
    <t xml:space="preserve">5. Safety and Guardrails</t>
  </si>
  <si>
    <t xml:space="preserve">Tested kill switch</t>
  </si>
  <si>
    <t xml:space="preserve">Named people can stop all state-changing actions quickly, without a code deployment.</t>
  </si>
  <si>
    <t xml:space="preserve">No kill switch exists, or stopping the system requires a deployment.</t>
  </si>
  <si>
    <t xml:space="preserve">A kill switch exists, but it has never been tested.</t>
  </si>
  <si>
    <t xml:space="preserve">It was tested within the last 6 months, it stopped all state-changing actions within 15 minutes, and the people allowed to trigger it are named.</t>
  </si>
  <si>
    <t xml:space="preserve">As 2, and it was tested within the last 90 days, and it can be scoped (one action type, one market) as well as all-off.</t>
  </si>
  <si>
    <t xml:space="preserve">Kill switch exists; never tested</t>
  </si>
  <si>
    <t xml:space="preserve">Runbook</t>
  </si>
  <si>
    <t xml:space="preserve">Test kill switch (owner: technical owner, by 30 Apr)</t>
  </si>
  <si>
    <t xml:space="preserve">5.2</t>
  </si>
  <si>
    <t xml:space="preserve">Limits enforced outside the model</t>
  </si>
  <si>
    <t xml:space="preserve">The authority boundary in 1.1 is enforced by systems the model cannot override.</t>
  </si>
  <si>
    <t xml:space="preserve">Limits rely only on prompt instructions.</t>
  </si>
  <si>
    <t xml:space="preserve">Some limits are enforced outside the model; others rely on the prompt.</t>
  </si>
  <si>
    <t xml:space="preserve">Every limit in 1.1 is enforced outside the model, at the tool layer, a policy engine, or the target system.</t>
  </si>
  <si>
    <t xml:space="preserve">As 2, and every attempted violation is logged and alerted to a named owner.</t>
  </si>
  <si>
    <t xml:space="preserve">Value limit enforced in the ERP integration, not the prompt</t>
  </si>
  <si>
    <t xml:space="preserve">Integration config</t>
  </si>
  <si>
    <t xml:space="preserve">5.3</t>
  </si>
  <si>
    <t xml:space="preserve">Reversibility classified</t>
  </si>
  <si>
    <t xml:space="preserve">Each action type is classified as reversible or irreversible, and irreversible actions are treated differently.</t>
  </si>
  <si>
    <t xml:space="preserve">Not assessed.</t>
  </si>
  <si>
    <t xml:space="preserve">Assessed informally, not written down.</t>
  </si>
  <si>
    <t xml:space="preserve">Every action type is classified in writing, and irreversible action types require approval (1.6) or have a documented compensating action.</t>
  </si>
  <si>
    <t xml:space="preserve">As 2, and the rollback or compensating procedure has been tested.</t>
  </si>
  <si>
    <t xml:space="preserve">Reversibility discussed, not written</t>
  </si>
  <si>
    <t xml:space="preserve">Classify action types (owner: AP controller, by 30 Apr)</t>
  </si>
  <si>
    <t xml:space="preserve">5.4</t>
  </si>
  <si>
    <t xml:space="preserve">Blast-radius caps</t>
  </si>
  <si>
    <t xml:space="preserve">Business-level caps limit how much damage a fault can do before someone notices.</t>
  </si>
  <si>
    <t xml:space="preserve">No caps exist.</t>
  </si>
  <si>
    <t xml:space="preserve">Only infrastructure limits (rate limits, timeouts) exist.</t>
  </si>
  <si>
    <t xml:space="preserve">Business-level caps are enforced, such as records changed per hour or monetary value per day.</t>
  </si>
  <si>
    <t xml:space="preserve">As 2, and caps are formally reviewed every time the system's authority state changes.</t>
  </si>
  <si>
    <t xml:space="preserve">Cap: 300 flags per hour, $250,000 per day</t>
  </si>
  <si>
    <t xml:space="preserve">5.5</t>
  </si>
  <si>
    <t xml:space="preserve">Delegation controls</t>
  </si>
  <si>
    <t xml:space="preserve">Authority cannot grow by passing through other agents or tools.</t>
  </si>
  <si>
    <t xml:space="preserve">The agent can call other agents or tools without restriction.</t>
  </si>
  <si>
    <t xml:space="preserve">Delegation paths are documented but not enforced.</t>
  </si>
  <si>
    <t xml:space="preserve">Every delegation path is listed, and no path grants permissions beyond the authority boundary in 1.1.</t>
  </si>
  <si>
    <t xml:space="preserve">As 2, and the composed end-to-end behavior is covered by the evaluation set. A single agent that is technically prevented from calling other agents scores 3.</t>
  </si>
  <si>
    <t xml:space="preserve">Single agent, technically prevented from calling other agents</t>
  </si>
  <si>
    <t xml:space="preserve">Platform policy</t>
  </si>
  <si>
    <t xml:space="preserve">6.1</t>
  </si>
  <si>
    <t xml:space="preserve">6. Reliability and Operations</t>
  </si>
  <si>
    <t xml:space="preserve">AI-specific incident playbook</t>
  </si>
  <si>
    <t xml:space="preserve">The team has a playbook for quality failures, not only outages.</t>
  </si>
  <si>
    <t xml:space="preserve">No playbook exists.</t>
  </si>
  <si>
    <t xml:space="preserve">Only a general IT incident playbook applies.</t>
  </si>
  <si>
    <t xml:space="preserve">An AI-specific playbook covers quality degradation as well as outage, with severity levels, a named owner, and steps to restrict or reset authority.</t>
  </si>
  <si>
    <t xml:space="preserve">As 2, and the playbook has been exercised within the last 12 months.</t>
  </si>
  <si>
    <t xml:space="preserve">General IT incident playbook only</t>
  </si>
  <si>
    <t xml:space="preserve">IT service desk</t>
  </si>
  <si>
    <t xml:space="preserve">Write AI quality playbook (owner: technical owner, by 31 May)</t>
  </si>
  <si>
    <t xml:space="preserve">6.2</t>
  </si>
  <si>
    <t xml:space="preserve">Fallback path</t>
  </si>
  <si>
    <t xml:space="preserve">The business keeps working when the system is paused.</t>
  </si>
  <si>
    <t xml:space="preserve">No fallback; the process stops.</t>
  </si>
  <si>
    <t xml:space="preserve">A manual workaround exists but is not documented or staffed.</t>
  </si>
  <si>
    <t xml:space="preserve">A documented, staffed fallback exists and has been tested.</t>
  </si>
  <si>
    <t xml:space="preserve">As 2, and the switch to fallback happens automatically on defined triggers, and that switch has been tested.</t>
  </si>
  <si>
    <t xml:space="preserve">Clerks resume manual matching; tested in January</t>
  </si>
  <si>
    <t xml:space="preserve">Fallback test record</t>
  </si>
  <si>
    <t xml:space="preserve">6.3</t>
  </si>
  <si>
    <t xml:space="preserve">Model and vendor change control</t>
  </si>
  <si>
    <t xml:space="preserve">Changes from the model or platform provider do not reach production untested.</t>
  </si>
  <si>
    <t xml:space="preserve">Provider changes are discovered after they affect behavior.</t>
  </si>
  <si>
    <t xml:space="preserve">The team subscribes to provider notices, but versions are not pinned.</t>
  </si>
  <si>
    <t xml:space="preserve">Model and platform versions are pinned, and upgrades pass regression testing (3.3) before rollout.</t>
  </si>
  <si>
    <t xml:space="preserve">As 2, and an alternative model or provider has been run against the evaluation set within the last 12 months.</t>
  </si>
  <si>
    <t xml:space="preserve">Model version pinned; upgrades pass regression</t>
  </si>
  <si>
    <t xml:space="preserve">6.4</t>
  </si>
  <si>
    <t xml:space="preserve">Downstream system dependencies</t>
  </si>
  <si>
    <t xml:space="preserve">Every system the agent writes to has defined failure behavior.</t>
  </si>
  <si>
    <t xml:space="preserve">Dependencies are not listed.</t>
  </si>
  <si>
    <t xml:space="preserve">Dependencies are listed, with no defined failure behavior.</t>
  </si>
  <si>
    <t xml:space="preserve">Each dependency has defined timeout, retry, and duplicate-action behavior, and it has been tested.</t>
  </si>
  <si>
    <t xml:space="preserve">As 2, and dependency health is monitored with alerts.</t>
  </si>
  <si>
    <t xml:space="preserve">Dependencies listed; duplicate-action behavior undefined</t>
  </si>
  <si>
    <t xml:space="preserve">Architecture page</t>
  </si>
  <si>
    <t xml:space="preserve">Define and test duplicate handling (owner: tech lead, by 15 May)</t>
  </si>
  <si>
    <t xml:space="preserve">6.5</t>
  </si>
  <si>
    <t xml:space="preserve">Agreed service levels</t>
  </si>
  <si>
    <t xml:space="preserve">The business owner and the technical owner agree on what "working" means.</t>
  </si>
  <si>
    <t xml:space="preserve">No service levels exist.</t>
  </si>
  <si>
    <t xml:space="preserve">Availability targets only.</t>
  </si>
  <si>
    <t xml:space="preserve">Availability, latency, and quality targets are agreed in writing with the business owner.</t>
  </si>
  <si>
    <t xml:space="preserve">As 2, and performance is reported monthly, and any breach triggers a recorded review.</t>
  </si>
  <si>
    <t xml:space="preserve">Availability target only</t>
  </si>
  <si>
    <t xml:space="preserve">Service catalog</t>
  </si>
  <si>
    <t xml:space="preserve">Agree latency and quality targets (owner: AP controller, by 31 May)</t>
  </si>
  <si>
    <t xml:space="preserve">7.1</t>
  </si>
  <si>
    <t xml:space="preserve">7. Ownership and Accountability</t>
  </si>
  <si>
    <t xml:space="preserve">Business owner</t>
  </si>
  <si>
    <t xml:space="preserve">A named person owns the business outcome and its economics.</t>
  </si>
  <si>
    <t xml:space="preserve">No business owner exists.</t>
  </si>
  <si>
    <t xml:space="preserve">A team is named, but no individual.</t>
  </si>
  <si>
    <t xml:space="preserve">A named individual owns the outcome, with a written success metric.</t>
  </si>
  <si>
    <t xml:space="preserve">As 2, and the metric is reported on a defined cadence and reviewed with that owner.</t>
  </si>
  <si>
    <t xml:space="preserve">AP controller owns cycle time and cost per invoice</t>
  </si>
  <si>
    <t xml:space="preserve">Initiative charter</t>
  </si>
  <si>
    <t xml:space="preserve">7.2</t>
  </si>
  <si>
    <t xml:space="preserve">Technical owner</t>
  </si>
  <si>
    <t xml:space="preserve">A named person owns operating and recovering the system.</t>
  </si>
  <si>
    <t xml:space="preserve">No technical owner exists.</t>
  </si>
  <si>
    <t xml:space="preserve">A named individual owns operations, with on-call coverage defined.</t>
  </si>
  <si>
    <t xml:space="preserve">As 2, and the on-call process has been tested, and runbooks were updated within the last 90 days.</t>
  </si>
  <si>
    <t xml:space="preserve">Named technical owner, on-call defined</t>
  </si>
  <si>
    <t xml:space="preserve">On-call rota</t>
  </si>
  <si>
    <t xml:space="preserve">7.3</t>
  </si>
  <si>
    <t xml:space="preserve">Risk owner and written acceptance</t>
  </si>
  <si>
    <t xml:space="preserve">A named person has accepted the residual risk of the system's current authority, in writing.</t>
  </si>
  <si>
    <t xml:space="preserve">No risk owner exists.</t>
  </si>
  <si>
    <t xml:space="preserve">Risk was discussed, but no one signed an acceptance.</t>
  </si>
  <si>
    <t xml:space="preserve">A named risk owner signed a written acceptance of residual risk for the current authority state.</t>
  </si>
  <si>
    <t xml:space="preserve">As 2, and acceptance is re-signed every time the authority state changes.</t>
  </si>
  <si>
    <t xml:space="preserve">Risk owner signed acceptance for Recommend</t>
  </si>
  <si>
    <t xml:space="preserve">Risk acceptance AP-R1</t>
  </si>
  <si>
    <t xml:space="preserve">7.4</t>
  </si>
  <si>
    <t xml:space="preserve">Agent identity and inventory</t>
  </si>
  <si>
    <t xml:space="preserve">The system is registered as a distinct, identifiable actor.</t>
  </si>
  <si>
    <t xml:space="preserve">The system is not in any inventory.</t>
  </si>
  <si>
    <t xml:space="preserve">Listed in an informal register, without a unique identity.</t>
  </si>
  <si>
    <t xml:space="preserve">Registered with a unique non-human identity, a named owner, and its current authority state.</t>
  </si>
  <si>
    <t xml:space="preserve">As 2, and the inventory is reconciled against agents actually running in production at least quarterly.</t>
  </si>
  <si>
    <t xml:space="preserve">Registered with a unique identity, owner and state</t>
  </si>
  <si>
    <t xml:space="preserve">7.5</t>
  </si>
  <si>
    <t xml:space="preserve">Scheduled authority review</t>
  </si>
  <si>
    <t xml:space="preserve">Authority is reviewed on a schedule, for demotion as well as promotion.</t>
  </si>
  <si>
    <t xml:space="preserve">No review happens after launch.</t>
  </si>
  <si>
    <t xml:space="preserve">Reviewed at launch only, or only when something goes wrong.</t>
  </si>
  <si>
    <t xml:space="preserve">Reviewed on a fixed cadence (at least quarterly for bounded or expanded autonomy), and the review considers both promotion and demotion.</t>
  </si>
  <si>
    <t xml:space="preserve">As 2, and each review records a decision (expand, maintain, constrain, pause, redesign, or exit) with conditions for the next review.</t>
  </si>
  <si>
    <t xml:space="preserve">Quarterly review, considers promotion and demotion</t>
  </si>
  <si>
    <t xml:space="preserve">Review calendar</t>
  </si>
  <si>
    <t xml:space="preserve">7.6</t>
  </si>
  <si>
    <t xml:space="preserve">Exit criteria</t>
  </si>
  <si>
    <t xml:space="preserve">The business conditions under which the initiative is redesigned, paused, or stopped are written down.</t>
  </si>
  <si>
    <t xml:space="preserve">No exit criteria exist.</t>
  </si>
  <si>
    <t xml:space="preserve">Discussed informally only.</t>
  </si>
  <si>
    <t xml:space="preserve">Written economic and risk conditions define when the initiative is redesigned, paused, or stopped.</t>
  </si>
  <si>
    <t xml:space="preserve">As 2, and the criteria were checked against current evidence at the most recent authority review.</t>
  </si>
  <si>
    <t xml:space="preserve">Stop line written at funding</t>
  </si>
  <si>
    <t xml:space="preserve">Stop Memo, part one</t>
  </si>
  <si>
    <t xml:space="preserve">Summary</t>
  </si>
  <si>
    <t xml:space="preserve">Criteria</t>
  </si>
  <si>
    <t xml:space="preserve">Scored</t>
  </si>
  <si>
    <t xml:space="preserve">Max</t>
  </si>
  <si>
    <t xml:space="preserve">Score</t>
  </si>
  <si>
    <t xml:space="preserve">Total</t>
  </si>
  <si>
    <t xml:space="preserve">Gate criteria</t>
  </si>
  <si>
    <t xml:space="preserve">1.1 Written authority boundary</t>
  </si>
  <si>
    <t xml:space="preserve">1.2 Named authority owner</t>
  </si>
  <si>
    <t xml:space="preserve">1.5 Demotion and revocation triggers</t>
  </si>
  <si>
    <t xml:space="preserve">4.1 Complete action trace</t>
  </si>
  <si>
    <t xml:space="preserve">5.1 Tested kill switch</t>
  </si>
  <si>
    <t xml:space="preserve">5.2 Limits enforced outside the model</t>
  </si>
  <si>
    <t xml:space="preserve">Criteria scored (of 37)</t>
  </si>
  <si>
    <t xml:space="preserve">Total score (of 111)</t>
  </si>
  <si>
    <t xml:space="preserve">Lowest gate score</t>
  </si>
  <si>
    <t xml:space="preserve">Criteria scored 0</t>
  </si>
  <si>
    <t xml:space="preserve">Band on total alone</t>
  </si>
  <si>
    <t xml:space="preserve">Readiness band</t>
  </si>
  <si>
    <t xml:space="preserve">Capped by a gate or a zero?</t>
  </si>
  <si>
    <t xml:space="preserve">Maximum authority state</t>
  </si>
  <si>
    <t xml:space="preserve">Gap check</t>
  </si>
  <si>
    <t xml:space="preserve">Next steps</t>
  </si>
  <si>
    <t xml:space="preserve">A high total does not cover a gap in a gate. Strong evidence in five places does not make up for missing evidence in the sixth.</t>
  </si>
  <si>
    <t xml:space="preserve">Reference tables used by the formulas. Do not edit.</t>
  </si>
  <si>
    <t xml:space="preserve">Authority state</t>
  </si>
  <si>
    <t xml:space="preserve">Rank</t>
  </si>
  <si>
    <t xml:space="preserve">What the system may do</t>
  </si>
  <si>
    <t xml:space="preserve">Observe</t>
  </si>
  <si>
    <t xml:space="preserve">Watch and report. No output reaches a decision.</t>
  </si>
  <si>
    <t xml:space="preserve">Suggest. A person decides and acts.</t>
  </si>
  <si>
    <t xml:space="preserve">Act with approval</t>
  </si>
  <si>
    <t xml:space="preserve">Prepare the action. A person approves each one before it happens.</t>
  </si>
  <si>
    <t xml:space="preserve">Bounded autonomy</t>
  </si>
  <si>
    <t xml:space="preserve">Act alone inside written limits, with every action traced and reversible where possible.</t>
  </si>
  <si>
    <t xml:space="preserve">Expanded autonomy</t>
  </si>
  <si>
    <t xml:space="preserve">Act alone across a wider scope, earned by sustained evidence at the bounded level.</t>
  </si>
  <si>
    <t xml:space="preserve">Band</t>
  </si>
  <si>
    <t xml:space="preserve">Total score</t>
  </si>
  <si>
    <t xml:space="preserve">Gate condition</t>
  </si>
  <si>
    <t xml:space="preserve">Allowed rank</t>
  </si>
  <si>
    <t xml:space="preserve">Not ready</t>
  </si>
  <si>
    <t xml:space="preserve">0 to 55</t>
  </si>
  <si>
    <t xml:space="preserve">Or any gate scored 0</t>
  </si>
  <si>
    <t xml:space="preserve">Observe only</t>
  </si>
  <si>
    <t xml:space="preserve">Run in observe mode only. Fix every gate scored 0 first, then name the authority owner (1.2), business owner (7.1) and risk owner (7.3). Re-score in 4 to 8 weeks.</t>
  </si>
  <si>
    <t xml:space="preserve">Pilot-ready</t>
  </si>
  <si>
    <t xml:space="preserve">56 to 83</t>
  </si>
  <si>
    <t xml:space="preserve">Every gate at 1 or higher</t>
  </si>
  <si>
    <t xml:space="preserve">Recommend, or act with approval in a limited scope</t>
  </si>
  <si>
    <t xml:space="preserve">Run a bounded pilot: recommend or act with approval in one market, one action type, capped volume. Build the missing evidence, especially 3.5, 4.4 and 4.5. Lift every gate to 2. Re-score before any request to expand scope.</t>
  </si>
  <si>
    <t xml:space="preserve">Production-ready</t>
  </si>
  <si>
    <t xml:space="preserve">84 to 111</t>
  </si>
  <si>
    <t xml:space="preserve">Every gate at 2 or higher, and no criterion at 0</t>
  </si>
  <si>
    <t xml:space="preserve">Bounded autonomy within the written limits in 1.1</t>
  </si>
  <si>
    <t xml:space="preserve">Bounded autonomy within the written limits is defensible. Hold the scheduled authority review (7.5). Treat the score as perishable. Re-score at least quarterly and at every authority change.</t>
  </si>
  <si>
    <t xml:space="preserve">Expanded-ready</t>
  </si>
  <si>
    <t xml:space="preserve">95 to 111</t>
  </si>
  <si>
    <t xml:space="preserve">Every gate at 3, and no criterion at 0</t>
  </si>
  <si>
    <t xml:space="preserve">Expanded autonomy, with a 60-day sunset on every grant</t>
  </si>
  <si>
    <t xml:space="preserve">Expanded autonomy is defensible for the action types where the evidence exists. Record each grant on an Authority Change Record with a 60-day sunset and re-score before every renewal.</t>
  </si>
  <si>
    <t xml:space="preserve">Expanded-ready is the top of the Production-ready range with a stricter gate condition, not a separate range.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</si>
</sst>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9"/>
      <color rgb="FF5F6B7A"/>
      <name val="Arial"/>
      <family val="0"/>
      <charset val="1"/>
    </font>
    <font>
      <b val="true"/>
      <sz val="10"/>
      <color rgb="FFA23B2A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i val="true"/>
      <sz val="9"/>
      <color rgb="FF5F6B7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sz val="10"/>
      <color rgb="FF5F6B7A"/>
      <name val="Arial"/>
      <family val="0"/>
      <charset val="1"/>
    </font>
    <font>
      <i val="true"/>
      <sz val="10"/>
      <color rgb="FF5F6B7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6D5"/>
        <bgColor rgb="FFFBE9E7"/>
      </patternFill>
    </fill>
    <fill>
      <patternFill patternType="solid">
        <fgColor rgb="FFFBE9E7"/>
        <bgColor rgb="FFE8EDF3"/>
      </patternFill>
    </fill>
    <fill>
      <patternFill patternType="solid">
        <fgColor rgb="FF1F3A5F"/>
        <bgColor rgb="FF333399"/>
      </patternFill>
    </fill>
    <fill>
      <patternFill patternType="solid">
        <fgColor rgb="FFE8EDF3"/>
        <bgColor rgb="FFFBE9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B"/>
      </left>
      <right style="thin">
        <color rgb="FFC9D1DB"/>
      </right>
      <top style="thin">
        <color rgb="FFC9D1DB"/>
      </top>
      <bottom style="thin">
        <color rgb="FFC9D1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BE9E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6D5"/>
          <bgColor rgb="FF000000"/>
        </patternFill>
      </fill>
    </dxf>
    <dxf>
      <fill>
        <patternFill>
          <bgColor rgb="FFF4C7C3"/>
        </patternFill>
      </fill>
    </dxf>
    <dxf>
      <fill>
        <patternFill>
          <bgColor rgb="FFFCE8B2"/>
        </patternFill>
      </fill>
    </dxf>
    <dxf>
      <fill>
        <patternFill>
          <bgColor rgb="FFCDE8D2"/>
        </patternFill>
      </fill>
    </dxf>
    <dxf>
      <fill>
        <patternFill>
          <bgColor rgb="FFB7DCC3"/>
        </patternFill>
      </fill>
    </dxf>
    <dxf>
      <font>
        <name val="Arial"/>
        <charset val="1"/>
        <family val="0"/>
        <b val="1"/>
        <color rgb="FF8A1C12"/>
      </font>
      <fill>
        <patternFill>
          <bgColor rgb="FFF4C7C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A1C12"/>
      <rgbColor rgb="FF008000"/>
      <rgbColor rgb="FF000080"/>
      <rgbColor rgb="FF808000"/>
      <rgbColor rgb="FF800080"/>
      <rgbColor rgb="FF008080"/>
      <rgbColor rgb="FFB7DCC3"/>
      <rgbColor rgb="FF808080"/>
      <rgbColor rgb="FF9999FF"/>
      <rgbColor rgb="FF993366"/>
      <rgbColor rgb="FFFFF6D5"/>
      <rgbColor rgb="FFE8EDF3"/>
      <rgbColor rgb="FF660066"/>
      <rgbColor rgb="FFFF8080"/>
      <rgbColor rgb="FF0066CC"/>
      <rgbColor rgb="FFC9D1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9E7"/>
      <rgbColor rgb="FFCDE8D2"/>
      <rgbColor rgb="FFFCE8B2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5F6B7A"/>
      <rgbColor rgb="FF969696"/>
      <rgbColor rgb="FF1F3A5F"/>
      <rgbColor rgb="FF339966"/>
      <rgbColor rgb="FF003300"/>
      <rgbColor rgb="FF333300"/>
      <rgbColor rgb="FFA23B2A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7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5" t="s">
        <v>4</v>
      </c>
      <c r="C7" s="6" t="s">
        <v>5</v>
      </c>
    </row>
    <row r="8" customFormat="false" ht="15" hidden="false" customHeight="false" outlineLevel="0" collapsed="false">
      <c r="B8" s="5" t="s">
        <v>6</v>
      </c>
      <c r="C8" s="6" t="s">
        <v>7</v>
      </c>
    </row>
    <row r="9" customFormat="false" ht="15" hidden="false" customHeight="false" outlineLevel="0" collapsed="false">
      <c r="B9" s="5" t="s">
        <v>8</v>
      </c>
      <c r="C9" s="6" t="s">
        <v>9</v>
      </c>
    </row>
    <row r="10" customFormat="false" ht="15" hidden="false" customHeight="false" outlineLevel="0" collapsed="false">
      <c r="B10" s="5" t="s">
        <v>10</v>
      </c>
      <c r="C10" s="6" t="s">
        <v>11</v>
      </c>
    </row>
    <row r="11" customFormat="false" ht="15" hidden="false" customHeight="false" outlineLevel="0" collapsed="false">
      <c r="B11" s="5" t="s">
        <v>12</v>
      </c>
      <c r="C11" s="6" t="s">
        <v>13</v>
      </c>
    </row>
    <row r="13" customFormat="false" ht="15" hidden="false" customHeight="false" outlineLevel="0" collapsed="false">
      <c r="B13" s="4" t="s">
        <v>14</v>
      </c>
    </row>
    <row r="14" customFormat="false" ht="30" hidden="false" customHeight="true" outlineLevel="0" collapsed="false">
      <c r="B14" s="5" t="s">
        <v>15</v>
      </c>
      <c r="C14" s="7" t="s">
        <v>16</v>
      </c>
    </row>
    <row r="15" customFormat="false" ht="30" hidden="false" customHeight="true" outlineLevel="0" collapsed="false">
      <c r="B15" s="5" t="s">
        <v>17</v>
      </c>
      <c r="C15" s="7" t="s">
        <v>18</v>
      </c>
    </row>
    <row r="16" customFormat="false" ht="30" hidden="false" customHeight="true" outlineLevel="0" collapsed="false">
      <c r="B16" s="5" t="s">
        <v>19</v>
      </c>
      <c r="C16" s="7" t="s">
        <v>20</v>
      </c>
    </row>
    <row r="17" customFormat="false" ht="30" hidden="false" customHeight="true" outlineLevel="0" collapsed="false">
      <c r="B17" s="5" t="s">
        <v>21</v>
      </c>
      <c r="C17" s="7" t="s">
        <v>22</v>
      </c>
    </row>
    <row r="19" customFormat="false" ht="15" hidden="false" customHeight="false" outlineLevel="0" collapsed="false">
      <c r="B19" s="4" t="s">
        <v>23</v>
      </c>
    </row>
    <row r="20" customFormat="false" ht="30" hidden="false" customHeight="true" outlineLevel="0" collapsed="false">
      <c r="B20" s="5" t="s">
        <v>24</v>
      </c>
      <c r="C20" s="7" t="s">
        <v>25</v>
      </c>
    </row>
    <row r="21" customFormat="false" ht="30" hidden="false" customHeight="true" outlineLevel="0" collapsed="false">
      <c r="B21" s="5" t="s">
        <v>26</v>
      </c>
      <c r="C21" s="7" t="s">
        <v>27</v>
      </c>
    </row>
    <row r="22" customFormat="false" ht="30" hidden="false" customHeight="true" outlineLevel="0" collapsed="false">
      <c r="B22" s="5" t="s">
        <v>28</v>
      </c>
      <c r="C22" s="7" t="s">
        <v>29</v>
      </c>
    </row>
    <row r="23" customFormat="false" ht="30" hidden="false" customHeight="true" outlineLevel="0" collapsed="false">
      <c r="B23" s="5" t="s">
        <v>30</v>
      </c>
      <c r="C23" s="7" t="s">
        <v>31</v>
      </c>
    </row>
    <row r="25" customFormat="false" ht="15" hidden="false" customHeight="false" outlineLevel="0" collapsed="false">
      <c r="B25" s="4" t="s">
        <v>32</v>
      </c>
    </row>
    <row r="26" customFormat="false" ht="15" hidden="false" customHeight="false" outlineLevel="0" collapsed="false">
      <c r="B26" s="8" t="s">
        <v>33</v>
      </c>
      <c r="C26" s="9" t="s">
        <v>34</v>
      </c>
    </row>
    <row r="27" customFormat="false" ht="15" hidden="false" customHeight="false" outlineLevel="0" collapsed="false">
      <c r="B27" s="10" t="s">
        <v>35</v>
      </c>
      <c r="C27" s="9" t="s">
        <v>36</v>
      </c>
    </row>
    <row r="29" customFormat="false" ht="15" hidden="false" customHeight="true" outlineLevel="0" collapsed="false">
      <c r="B29" s="11" t="s">
        <v>37</v>
      </c>
      <c r="C29" s="11"/>
    </row>
    <row r="30" customFormat="false" ht="15" hidden="false" customHeight="false" outlineLevel="0" collapsed="false">
      <c r="B30" s="11"/>
      <c r="C30" s="11"/>
    </row>
    <row r="31" customFormat="false" ht="15" hidden="false" customHeight="false" outlineLevel="0" collapsed="false">
      <c r="B31" s="2" t="s">
        <v>38</v>
      </c>
    </row>
  </sheetData>
  <mergeCells count="1">
    <mergeCell ref="B29:C30"/>
  </mergeCells>
  <dataValidations count="1">
    <dataValidation allowBlank="true" error="Choose one of the five authority states." errorStyle="stop" errorTitle="Authority state" operator="between" showDropDown="false" showErrorMessage="false" showInputMessage="false" sqref="C11" type="list">
      <formula1>Reference!$A$4:$A$8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7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34"/>
    <col collapsed="false" customWidth="true" hidden="false" outlineLevel="0" max="9" min="8" style="0" width="38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40"/>
    <col collapsed="false" customWidth="true" hidden="false" outlineLevel="0" max="13" min="13" style="0" width="30"/>
    <col collapsed="false" customWidth="true" hidden="false" outlineLevel="0" max="14" min="14" style="0" width="36"/>
  </cols>
  <sheetData>
    <row r="1" customFormat="false" ht="15" hidden="false" customHeight="false" outlineLevel="0" collapsed="false">
      <c r="A1" s="4" t="s">
        <v>39</v>
      </c>
    </row>
    <row r="3" customFormat="false" ht="30" hidden="false" customHeight="true" outlineLevel="0" collapsed="false">
      <c r="A3" s="12" t="s">
        <v>40</v>
      </c>
      <c r="B3" s="12" t="s">
        <v>41</v>
      </c>
      <c r="C3" s="12" t="s">
        <v>42</v>
      </c>
      <c r="D3" s="12" t="s">
        <v>43</v>
      </c>
      <c r="E3" s="12" t="s">
        <v>44</v>
      </c>
      <c r="F3" s="12" t="s">
        <v>45</v>
      </c>
      <c r="G3" s="12" t="s">
        <v>46</v>
      </c>
      <c r="H3" s="12" t="s">
        <v>47</v>
      </c>
      <c r="I3" s="12" t="s">
        <v>48</v>
      </c>
      <c r="J3" s="12" t="s">
        <v>49</v>
      </c>
      <c r="K3" s="12" t="s">
        <v>50</v>
      </c>
      <c r="L3" s="12" t="s">
        <v>51</v>
      </c>
      <c r="M3" s="12" t="s">
        <v>52</v>
      </c>
      <c r="N3" s="12" t="s">
        <v>53</v>
      </c>
    </row>
    <row r="4" customFormat="false" ht="96" hidden="false" customHeight="true" outlineLevel="0" collapsed="false">
      <c r="A4" s="13" t="s">
        <v>54</v>
      </c>
      <c r="B4" s="14" t="s">
        <v>55</v>
      </c>
      <c r="C4" s="13" t="s">
        <v>56</v>
      </c>
      <c r="D4" s="13" t="s">
        <v>57</v>
      </c>
      <c r="E4" s="14" t="s">
        <v>58</v>
      </c>
      <c r="F4" s="14" t="s">
        <v>59</v>
      </c>
      <c r="G4" s="14" t="s">
        <v>60</v>
      </c>
      <c r="H4" s="14" t="s">
        <v>61</v>
      </c>
      <c r="I4" s="14" t="s">
        <v>62</v>
      </c>
      <c r="J4" s="15" t="n">
        <v>2</v>
      </c>
      <c r="K4" s="16" t="str">
        <f aca="false">IF(J4="","",CHOOSE(J4+1,"1 - Ad hoc","2 - Developing","3 - Defined","4 - Managed"))</f>
        <v>3 - Defined</v>
      </c>
      <c r="L4" s="17" t="s">
        <v>63</v>
      </c>
      <c r="M4" s="17" t="s">
        <v>64</v>
      </c>
      <c r="N4" s="17"/>
    </row>
    <row r="5" customFormat="false" ht="96" hidden="false" customHeight="true" outlineLevel="0" collapsed="false">
      <c r="A5" s="13" t="s">
        <v>65</v>
      </c>
      <c r="B5" s="14" t="s">
        <v>55</v>
      </c>
      <c r="C5" s="13" t="s">
        <v>66</v>
      </c>
      <c r="D5" s="13" t="s">
        <v>57</v>
      </c>
      <c r="E5" s="14" t="s">
        <v>67</v>
      </c>
      <c r="F5" s="14" t="s">
        <v>68</v>
      </c>
      <c r="G5" s="14" t="s">
        <v>69</v>
      </c>
      <c r="H5" s="14" t="s">
        <v>70</v>
      </c>
      <c r="I5" s="14" t="s">
        <v>71</v>
      </c>
      <c r="J5" s="15" t="n">
        <v>2</v>
      </c>
      <c r="K5" s="16" t="str">
        <f aca="false">IF(J5="","",CHOOSE(J5+1,"1 - Ad hoc","2 - Developing","3 - Defined","4 - Managed"))</f>
        <v>3 - Defined</v>
      </c>
      <c r="L5" s="17" t="s">
        <v>72</v>
      </c>
      <c r="M5" s="17" t="s">
        <v>73</v>
      </c>
      <c r="N5" s="17" t="s">
        <v>74</v>
      </c>
    </row>
    <row r="6" customFormat="false" ht="96" hidden="false" customHeight="true" outlineLevel="0" collapsed="false">
      <c r="A6" s="18" t="s">
        <v>75</v>
      </c>
      <c r="B6" s="16" t="s">
        <v>55</v>
      </c>
      <c r="C6" s="18" t="s">
        <v>76</v>
      </c>
      <c r="D6" s="18"/>
      <c r="E6" s="16" t="s">
        <v>77</v>
      </c>
      <c r="F6" s="16" t="s">
        <v>78</v>
      </c>
      <c r="G6" s="16" t="s">
        <v>79</v>
      </c>
      <c r="H6" s="16" t="s">
        <v>80</v>
      </c>
      <c r="I6" s="16" t="s">
        <v>81</v>
      </c>
      <c r="J6" s="15" t="n">
        <v>2</v>
      </c>
      <c r="K6" s="16" t="str">
        <f aca="false">IF(J6="","",CHOOSE(J6+1,"1 - Ad hoc","2 - Developing","3 - Defined","4 - Managed"))</f>
        <v>3 - Defined</v>
      </c>
      <c r="L6" s="17" t="s">
        <v>82</v>
      </c>
      <c r="M6" s="17" t="s">
        <v>83</v>
      </c>
      <c r="N6" s="17"/>
    </row>
    <row r="7" customFormat="false" ht="96" hidden="false" customHeight="true" outlineLevel="0" collapsed="false">
      <c r="A7" s="18" t="s">
        <v>84</v>
      </c>
      <c r="B7" s="16" t="s">
        <v>55</v>
      </c>
      <c r="C7" s="18" t="s">
        <v>85</v>
      </c>
      <c r="D7" s="18"/>
      <c r="E7" s="16" t="s">
        <v>86</v>
      </c>
      <c r="F7" s="16" t="s">
        <v>87</v>
      </c>
      <c r="G7" s="16" t="s">
        <v>88</v>
      </c>
      <c r="H7" s="16" t="s">
        <v>89</v>
      </c>
      <c r="I7" s="16" t="s">
        <v>90</v>
      </c>
      <c r="J7" s="15" t="n">
        <v>2</v>
      </c>
      <c r="K7" s="16" t="str">
        <f aca="false">IF(J7="","",CHOOSE(J7+1,"1 - Ad hoc","2 - Developing","3 - Defined","4 - Managed"))</f>
        <v>3 - Defined</v>
      </c>
      <c r="L7" s="17" t="s">
        <v>91</v>
      </c>
      <c r="M7" s="17" t="s">
        <v>92</v>
      </c>
      <c r="N7" s="17"/>
    </row>
    <row r="8" customFormat="false" ht="96" hidden="false" customHeight="true" outlineLevel="0" collapsed="false">
      <c r="A8" s="13" t="s">
        <v>93</v>
      </c>
      <c r="B8" s="14" t="s">
        <v>55</v>
      </c>
      <c r="C8" s="13" t="s">
        <v>94</v>
      </c>
      <c r="D8" s="13" t="s">
        <v>57</v>
      </c>
      <c r="E8" s="14" t="s">
        <v>95</v>
      </c>
      <c r="F8" s="14" t="s">
        <v>96</v>
      </c>
      <c r="G8" s="14" t="s">
        <v>97</v>
      </c>
      <c r="H8" s="14" t="s">
        <v>98</v>
      </c>
      <c r="I8" s="14" t="s">
        <v>99</v>
      </c>
      <c r="J8" s="15" t="n">
        <v>2</v>
      </c>
      <c r="K8" s="16" t="str">
        <f aca="false">IF(J8="","",CHOOSE(J8+1,"1 - Ad hoc","2 - Developing","3 - Defined","4 - Managed"))</f>
        <v>3 - Defined</v>
      </c>
      <c r="L8" s="17" t="s">
        <v>100</v>
      </c>
      <c r="M8" s="17" t="s">
        <v>101</v>
      </c>
      <c r="N8" s="17" t="s">
        <v>102</v>
      </c>
    </row>
    <row r="9" customFormat="false" ht="96" hidden="false" customHeight="true" outlineLevel="0" collapsed="false">
      <c r="A9" s="18" t="s">
        <v>103</v>
      </c>
      <c r="B9" s="16" t="s">
        <v>55</v>
      </c>
      <c r="C9" s="18" t="s">
        <v>104</v>
      </c>
      <c r="D9" s="18"/>
      <c r="E9" s="16" t="s">
        <v>105</v>
      </c>
      <c r="F9" s="16" t="s">
        <v>106</v>
      </c>
      <c r="G9" s="16" t="s">
        <v>107</v>
      </c>
      <c r="H9" s="16" t="s">
        <v>108</v>
      </c>
      <c r="I9" s="16" t="s">
        <v>109</v>
      </c>
      <c r="J9" s="15" t="n">
        <v>3</v>
      </c>
      <c r="K9" s="16" t="str">
        <f aca="false">IF(J9="","",CHOOSE(J9+1,"1 - Ad hoc","2 - Developing","3 - Defined","4 - Managed"))</f>
        <v>4 - Managed</v>
      </c>
      <c r="L9" s="17" t="s">
        <v>110</v>
      </c>
      <c r="M9" s="17" t="s">
        <v>111</v>
      </c>
      <c r="N9" s="17"/>
    </row>
    <row r="10" customFormat="false" ht="96" hidden="false" customHeight="true" outlineLevel="0" collapsed="false">
      <c r="A10" s="18" t="s">
        <v>112</v>
      </c>
      <c r="B10" s="16" t="s">
        <v>113</v>
      </c>
      <c r="C10" s="18" t="s">
        <v>114</v>
      </c>
      <c r="D10" s="18"/>
      <c r="E10" s="16" t="s">
        <v>115</v>
      </c>
      <c r="F10" s="16" t="s">
        <v>116</v>
      </c>
      <c r="G10" s="16" t="s">
        <v>117</v>
      </c>
      <c r="H10" s="16" t="s">
        <v>118</v>
      </c>
      <c r="I10" s="16" t="s">
        <v>119</v>
      </c>
      <c r="J10" s="15" t="n">
        <v>2</v>
      </c>
      <c r="K10" s="16" t="str">
        <f aca="false">IF(J10="","",CHOOSE(J10+1,"1 - Ad hoc","2 - Developing","3 - Defined","4 - Managed"))</f>
        <v>3 - Defined</v>
      </c>
      <c r="L10" s="17" t="s">
        <v>120</v>
      </c>
      <c r="M10" s="17" t="s">
        <v>121</v>
      </c>
      <c r="N10" s="17"/>
    </row>
    <row r="11" customFormat="false" ht="96" hidden="false" customHeight="true" outlineLevel="0" collapsed="false">
      <c r="A11" s="18" t="s">
        <v>122</v>
      </c>
      <c r="B11" s="16" t="s">
        <v>113</v>
      </c>
      <c r="C11" s="18" t="s">
        <v>123</v>
      </c>
      <c r="D11" s="18"/>
      <c r="E11" s="16" t="s">
        <v>124</v>
      </c>
      <c r="F11" s="16" t="s">
        <v>125</v>
      </c>
      <c r="G11" s="16" t="s">
        <v>126</v>
      </c>
      <c r="H11" s="16" t="s">
        <v>127</v>
      </c>
      <c r="I11" s="16" t="s">
        <v>128</v>
      </c>
      <c r="J11" s="15" t="n">
        <v>2</v>
      </c>
      <c r="K11" s="16" t="str">
        <f aca="false">IF(J11="","",CHOOSE(J11+1,"1 - Ad hoc","2 - Developing","3 - Defined","4 - Managed"))</f>
        <v>3 - Defined</v>
      </c>
      <c r="L11" s="17" t="s">
        <v>129</v>
      </c>
      <c r="M11" s="17" t="s">
        <v>130</v>
      </c>
      <c r="N11" s="17"/>
    </row>
    <row r="12" customFormat="false" ht="96" hidden="false" customHeight="true" outlineLevel="0" collapsed="false">
      <c r="A12" s="18" t="s">
        <v>131</v>
      </c>
      <c r="B12" s="16" t="s">
        <v>113</v>
      </c>
      <c r="C12" s="18" t="s">
        <v>132</v>
      </c>
      <c r="D12" s="18"/>
      <c r="E12" s="16" t="s">
        <v>133</v>
      </c>
      <c r="F12" s="16" t="s">
        <v>134</v>
      </c>
      <c r="G12" s="16" t="s">
        <v>135</v>
      </c>
      <c r="H12" s="16" t="s">
        <v>136</v>
      </c>
      <c r="I12" s="16" t="s">
        <v>137</v>
      </c>
      <c r="J12" s="15" t="n">
        <v>2</v>
      </c>
      <c r="K12" s="16" t="str">
        <f aca="false">IF(J12="","",CHOOSE(J12+1,"1 - Ad hoc","2 - Developing","3 - Defined","4 - Managed"))</f>
        <v>3 - Defined</v>
      </c>
      <c r="L12" s="17" t="s">
        <v>138</v>
      </c>
      <c r="M12" s="17" t="s">
        <v>139</v>
      </c>
      <c r="N12" s="17"/>
    </row>
    <row r="13" customFormat="false" ht="96" hidden="false" customHeight="true" outlineLevel="0" collapsed="false">
      <c r="A13" s="18" t="s">
        <v>140</v>
      </c>
      <c r="B13" s="16" t="s">
        <v>113</v>
      </c>
      <c r="C13" s="18" t="s">
        <v>141</v>
      </c>
      <c r="D13" s="18"/>
      <c r="E13" s="16" t="s">
        <v>142</v>
      </c>
      <c r="F13" s="16" t="s">
        <v>143</v>
      </c>
      <c r="G13" s="16" t="s">
        <v>144</v>
      </c>
      <c r="H13" s="16" t="s">
        <v>145</v>
      </c>
      <c r="I13" s="16" t="s">
        <v>146</v>
      </c>
      <c r="J13" s="15" t="n">
        <v>2</v>
      </c>
      <c r="K13" s="16" t="str">
        <f aca="false">IF(J13="","",CHOOSE(J13+1,"1 - Ad hoc","2 - Developing","3 - Defined","4 - Managed"))</f>
        <v>3 - Defined</v>
      </c>
      <c r="L13" s="17" t="s">
        <v>147</v>
      </c>
      <c r="M13" s="17" t="s">
        <v>148</v>
      </c>
      <c r="N13" s="17"/>
    </row>
    <row r="14" customFormat="false" ht="96" hidden="false" customHeight="true" outlineLevel="0" collapsed="false">
      <c r="A14" s="18" t="s">
        <v>149</v>
      </c>
      <c r="B14" s="16" t="s">
        <v>113</v>
      </c>
      <c r="C14" s="18" t="s">
        <v>150</v>
      </c>
      <c r="D14" s="18"/>
      <c r="E14" s="16" t="s">
        <v>151</v>
      </c>
      <c r="F14" s="16" t="s">
        <v>152</v>
      </c>
      <c r="G14" s="16" t="s">
        <v>153</v>
      </c>
      <c r="H14" s="16" t="s">
        <v>154</v>
      </c>
      <c r="I14" s="16" t="s">
        <v>155</v>
      </c>
      <c r="J14" s="15" t="n">
        <v>1</v>
      </c>
      <c r="K14" s="16" t="str">
        <f aca="false">IF(J14="","",CHOOSE(J14+1,"1 - Ad hoc","2 - Developing","3 - Defined","4 - Managed"))</f>
        <v>2 - Developing</v>
      </c>
      <c r="L14" s="17" t="s">
        <v>156</v>
      </c>
      <c r="M14" s="17" t="s">
        <v>157</v>
      </c>
      <c r="N14" s="17" t="s">
        <v>158</v>
      </c>
    </row>
    <row r="15" customFormat="false" ht="96" hidden="false" customHeight="true" outlineLevel="0" collapsed="false">
      <c r="A15" s="18" t="s">
        <v>159</v>
      </c>
      <c r="B15" s="16" t="s">
        <v>160</v>
      </c>
      <c r="C15" s="18" t="s">
        <v>161</v>
      </c>
      <c r="D15" s="18"/>
      <c r="E15" s="16" t="s">
        <v>162</v>
      </c>
      <c r="F15" s="16" t="s">
        <v>163</v>
      </c>
      <c r="G15" s="16" t="s">
        <v>164</v>
      </c>
      <c r="H15" s="16" t="s">
        <v>165</v>
      </c>
      <c r="I15" s="16" t="s">
        <v>166</v>
      </c>
      <c r="J15" s="15" t="n">
        <v>2</v>
      </c>
      <c r="K15" s="16" t="str">
        <f aca="false">IF(J15="","",CHOOSE(J15+1,"1 - Ad hoc","2 - Developing","3 - Defined","4 - Managed"))</f>
        <v>3 - Defined</v>
      </c>
      <c r="L15" s="17" t="s">
        <v>167</v>
      </c>
      <c r="M15" s="17" t="s">
        <v>168</v>
      </c>
      <c r="N15" s="17"/>
    </row>
    <row r="16" customFormat="false" ht="96" hidden="false" customHeight="true" outlineLevel="0" collapsed="false">
      <c r="A16" s="18" t="s">
        <v>169</v>
      </c>
      <c r="B16" s="16" t="s">
        <v>160</v>
      </c>
      <c r="C16" s="18" t="s">
        <v>170</v>
      </c>
      <c r="D16" s="18"/>
      <c r="E16" s="16" t="s">
        <v>171</v>
      </c>
      <c r="F16" s="16" t="s">
        <v>172</v>
      </c>
      <c r="G16" s="16" t="s">
        <v>173</v>
      </c>
      <c r="H16" s="16" t="s">
        <v>174</v>
      </c>
      <c r="I16" s="16" t="s">
        <v>175</v>
      </c>
      <c r="J16" s="15" t="n">
        <v>2</v>
      </c>
      <c r="K16" s="16" t="str">
        <f aca="false">IF(J16="","",CHOOSE(J16+1,"1 - Ad hoc","2 - Developing","3 - Defined","4 - Managed"))</f>
        <v>3 - Defined</v>
      </c>
      <c r="L16" s="17" t="s">
        <v>176</v>
      </c>
      <c r="M16" s="17" t="s">
        <v>177</v>
      </c>
      <c r="N16" s="17"/>
    </row>
    <row r="17" customFormat="false" ht="96" hidden="false" customHeight="true" outlineLevel="0" collapsed="false">
      <c r="A17" s="18" t="s">
        <v>178</v>
      </c>
      <c r="B17" s="16" t="s">
        <v>160</v>
      </c>
      <c r="C17" s="18" t="s">
        <v>179</v>
      </c>
      <c r="D17" s="18"/>
      <c r="E17" s="16" t="s">
        <v>180</v>
      </c>
      <c r="F17" s="16" t="s">
        <v>181</v>
      </c>
      <c r="G17" s="16" t="s">
        <v>182</v>
      </c>
      <c r="H17" s="16" t="s">
        <v>183</v>
      </c>
      <c r="I17" s="16" t="s">
        <v>184</v>
      </c>
      <c r="J17" s="15" t="n">
        <v>2</v>
      </c>
      <c r="K17" s="16" t="str">
        <f aca="false">IF(J17="","",CHOOSE(J17+1,"1 - Ad hoc","2 - Developing","3 - Defined","4 - Managed"))</f>
        <v>3 - Defined</v>
      </c>
      <c r="L17" s="17" t="s">
        <v>185</v>
      </c>
      <c r="M17" s="17" t="s">
        <v>186</v>
      </c>
      <c r="N17" s="17"/>
    </row>
    <row r="18" customFormat="false" ht="96" hidden="false" customHeight="true" outlineLevel="0" collapsed="false">
      <c r="A18" s="18" t="s">
        <v>187</v>
      </c>
      <c r="B18" s="16" t="s">
        <v>160</v>
      </c>
      <c r="C18" s="18" t="s">
        <v>188</v>
      </c>
      <c r="D18" s="18"/>
      <c r="E18" s="16" t="s">
        <v>189</v>
      </c>
      <c r="F18" s="16" t="s">
        <v>190</v>
      </c>
      <c r="G18" s="16" t="s">
        <v>191</v>
      </c>
      <c r="H18" s="16" t="s">
        <v>192</v>
      </c>
      <c r="I18" s="16" t="s">
        <v>193</v>
      </c>
      <c r="J18" s="15" t="n">
        <v>1</v>
      </c>
      <c r="K18" s="16" t="str">
        <f aca="false">IF(J18="","",CHOOSE(J18+1,"1 - Ad hoc","2 - Developing","3 - Defined","4 - Managed"))</f>
        <v>2 - Developing</v>
      </c>
      <c r="L18" s="17" t="s">
        <v>194</v>
      </c>
      <c r="M18" s="17" t="s">
        <v>195</v>
      </c>
      <c r="N18" s="17" t="s">
        <v>196</v>
      </c>
    </row>
    <row r="19" customFormat="false" ht="96" hidden="false" customHeight="true" outlineLevel="0" collapsed="false">
      <c r="A19" s="18" t="s">
        <v>197</v>
      </c>
      <c r="B19" s="16" t="s">
        <v>160</v>
      </c>
      <c r="C19" s="18" t="s">
        <v>198</v>
      </c>
      <c r="D19" s="18"/>
      <c r="E19" s="16" t="s">
        <v>199</v>
      </c>
      <c r="F19" s="16" t="s">
        <v>200</v>
      </c>
      <c r="G19" s="16" t="s">
        <v>201</v>
      </c>
      <c r="H19" s="16" t="s">
        <v>202</v>
      </c>
      <c r="I19" s="16" t="s">
        <v>203</v>
      </c>
      <c r="J19" s="15" t="n">
        <v>2</v>
      </c>
      <c r="K19" s="16" t="str">
        <f aca="false">IF(J19="","",CHOOSE(J19+1,"1 - Ad hoc","2 - Developing","3 - Defined","4 - Managed"))</f>
        <v>3 - Defined</v>
      </c>
      <c r="L19" s="17" t="s">
        <v>204</v>
      </c>
      <c r="M19" s="17" t="s">
        <v>205</v>
      </c>
      <c r="N19" s="17"/>
    </row>
    <row r="20" customFormat="false" ht="96" hidden="false" customHeight="true" outlineLevel="0" collapsed="false">
      <c r="A20" s="13" t="s">
        <v>206</v>
      </c>
      <c r="B20" s="14" t="s">
        <v>207</v>
      </c>
      <c r="C20" s="13" t="s">
        <v>208</v>
      </c>
      <c r="D20" s="13" t="s">
        <v>57</v>
      </c>
      <c r="E20" s="14" t="s">
        <v>209</v>
      </c>
      <c r="F20" s="14" t="s">
        <v>210</v>
      </c>
      <c r="G20" s="14" t="s">
        <v>211</v>
      </c>
      <c r="H20" s="14" t="s">
        <v>212</v>
      </c>
      <c r="I20" s="14" t="s">
        <v>213</v>
      </c>
      <c r="J20" s="15" t="n">
        <v>2</v>
      </c>
      <c r="K20" s="16" t="str">
        <f aca="false">IF(J20="","",CHOOSE(J20+1,"1 - Ad hoc","2 - Developing","3 - Defined","4 - Managed"))</f>
        <v>3 - Defined</v>
      </c>
      <c r="L20" s="17" t="s">
        <v>214</v>
      </c>
      <c r="M20" s="17" t="s">
        <v>215</v>
      </c>
      <c r="N20" s="17"/>
    </row>
    <row r="21" customFormat="false" ht="96" hidden="false" customHeight="true" outlineLevel="0" collapsed="false">
      <c r="A21" s="18" t="s">
        <v>216</v>
      </c>
      <c r="B21" s="16" t="s">
        <v>207</v>
      </c>
      <c r="C21" s="18" t="s">
        <v>217</v>
      </c>
      <c r="D21" s="18"/>
      <c r="E21" s="16" t="s">
        <v>218</v>
      </c>
      <c r="F21" s="16" t="s">
        <v>219</v>
      </c>
      <c r="G21" s="16" t="s">
        <v>220</v>
      </c>
      <c r="H21" s="16" t="s">
        <v>221</v>
      </c>
      <c r="I21" s="16" t="s">
        <v>222</v>
      </c>
      <c r="J21" s="15" t="n">
        <v>2</v>
      </c>
      <c r="K21" s="16" t="str">
        <f aca="false">IF(J21="","",CHOOSE(J21+1,"1 - Ad hoc","2 - Developing","3 - Defined","4 - Managed"))</f>
        <v>3 - Defined</v>
      </c>
      <c r="L21" s="17" t="s">
        <v>223</v>
      </c>
      <c r="M21" s="17" t="s">
        <v>224</v>
      </c>
      <c r="N21" s="17"/>
    </row>
    <row r="22" customFormat="false" ht="96" hidden="false" customHeight="true" outlineLevel="0" collapsed="false">
      <c r="A22" s="18" t="s">
        <v>225</v>
      </c>
      <c r="B22" s="16" t="s">
        <v>207</v>
      </c>
      <c r="C22" s="18" t="s">
        <v>226</v>
      </c>
      <c r="D22" s="18"/>
      <c r="E22" s="16" t="s">
        <v>227</v>
      </c>
      <c r="F22" s="16" t="s">
        <v>228</v>
      </c>
      <c r="G22" s="16" t="s">
        <v>229</v>
      </c>
      <c r="H22" s="16" t="s">
        <v>230</v>
      </c>
      <c r="I22" s="16" t="s">
        <v>231</v>
      </c>
      <c r="J22" s="15" t="n">
        <v>1</v>
      </c>
      <c r="K22" s="16" t="str">
        <f aca="false">IF(J22="","",CHOOSE(J22+1,"1 - Ad hoc","2 - Developing","3 - Defined","4 - Managed"))</f>
        <v>2 - Developing</v>
      </c>
      <c r="L22" s="17" t="s">
        <v>232</v>
      </c>
      <c r="M22" s="17" t="s">
        <v>233</v>
      </c>
      <c r="N22" s="17" t="s">
        <v>234</v>
      </c>
    </row>
    <row r="23" customFormat="false" ht="96" hidden="false" customHeight="true" outlineLevel="0" collapsed="false">
      <c r="A23" s="18" t="s">
        <v>235</v>
      </c>
      <c r="B23" s="16" t="s">
        <v>207</v>
      </c>
      <c r="C23" s="18" t="s">
        <v>236</v>
      </c>
      <c r="D23" s="18"/>
      <c r="E23" s="16" t="s">
        <v>237</v>
      </c>
      <c r="F23" s="16" t="s">
        <v>238</v>
      </c>
      <c r="G23" s="16" t="s">
        <v>239</v>
      </c>
      <c r="H23" s="16" t="s">
        <v>240</v>
      </c>
      <c r="I23" s="16" t="s">
        <v>241</v>
      </c>
      <c r="J23" s="15" t="n">
        <v>2</v>
      </c>
      <c r="K23" s="16" t="str">
        <f aca="false">IF(J23="","",CHOOSE(J23+1,"1 - Ad hoc","2 - Developing","3 - Defined","4 - Managed"))</f>
        <v>3 - Defined</v>
      </c>
      <c r="L23" s="17" t="s">
        <v>242</v>
      </c>
      <c r="M23" s="17" t="s">
        <v>243</v>
      </c>
      <c r="N23" s="17"/>
    </row>
    <row r="24" customFormat="false" ht="96" hidden="false" customHeight="true" outlineLevel="0" collapsed="false">
      <c r="A24" s="18" t="s">
        <v>244</v>
      </c>
      <c r="B24" s="16" t="s">
        <v>207</v>
      </c>
      <c r="C24" s="18" t="s">
        <v>245</v>
      </c>
      <c r="D24" s="18"/>
      <c r="E24" s="16" t="s">
        <v>246</v>
      </c>
      <c r="F24" s="16" t="s">
        <v>247</v>
      </c>
      <c r="G24" s="16" t="s">
        <v>248</v>
      </c>
      <c r="H24" s="16" t="s">
        <v>249</v>
      </c>
      <c r="I24" s="16" t="s">
        <v>250</v>
      </c>
      <c r="J24" s="15" t="n">
        <v>2</v>
      </c>
      <c r="K24" s="16" t="str">
        <f aca="false">IF(J24="","",CHOOSE(J24+1,"1 - Ad hoc","2 - Developing","3 - Defined","4 - Managed"))</f>
        <v>3 - Defined</v>
      </c>
      <c r="L24" s="17" t="s">
        <v>251</v>
      </c>
      <c r="M24" s="17" t="s">
        <v>252</v>
      </c>
      <c r="N24" s="17"/>
    </row>
    <row r="25" customFormat="false" ht="96" hidden="false" customHeight="true" outlineLevel="0" collapsed="false">
      <c r="A25" s="13" t="s">
        <v>253</v>
      </c>
      <c r="B25" s="14" t="s">
        <v>254</v>
      </c>
      <c r="C25" s="13" t="s">
        <v>255</v>
      </c>
      <c r="D25" s="13" t="s">
        <v>57</v>
      </c>
      <c r="E25" s="14" t="s">
        <v>256</v>
      </c>
      <c r="F25" s="14" t="s">
        <v>257</v>
      </c>
      <c r="G25" s="14" t="s">
        <v>258</v>
      </c>
      <c r="H25" s="14" t="s">
        <v>259</v>
      </c>
      <c r="I25" s="14" t="s">
        <v>260</v>
      </c>
      <c r="J25" s="15" t="n">
        <v>1</v>
      </c>
      <c r="K25" s="16" t="str">
        <f aca="false">IF(J25="","",CHOOSE(J25+1,"1 - Ad hoc","2 - Developing","3 - Defined","4 - Managed"))</f>
        <v>2 - Developing</v>
      </c>
      <c r="L25" s="17" t="s">
        <v>261</v>
      </c>
      <c r="M25" s="17" t="s">
        <v>262</v>
      </c>
      <c r="N25" s="17" t="s">
        <v>263</v>
      </c>
    </row>
    <row r="26" customFormat="false" ht="96" hidden="false" customHeight="true" outlineLevel="0" collapsed="false">
      <c r="A26" s="13" t="s">
        <v>264</v>
      </c>
      <c r="B26" s="14" t="s">
        <v>254</v>
      </c>
      <c r="C26" s="13" t="s">
        <v>265</v>
      </c>
      <c r="D26" s="13" t="s">
        <v>57</v>
      </c>
      <c r="E26" s="14" t="s">
        <v>266</v>
      </c>
      <c r="F26" s="14" t="s">
        <v>267</v>
      </c>
      <c r="G26" s="14" t="s">
        <v>268</v>
      </c>
      <c r="H26" s="14" t="s">
        <v>269</v>
      </c>
      <c r="I26" s="14" t="s">
        <v>270</v>
      </c>
      <c r="J26" s="15" t="n">
        <v>2</v>
      </c>
      <c r="K26" s="16" t="str">
        <f aca="false">IF(J26="","",CHOOSE(J26+1,"1 - Ad hoc","2 - Developing","3 - Defined","4 - Managed"))</f>
        <v>3 - Defined</v>
      </c>
      <c r="L26" s="17" t="s">
        <v>271</v>
      </c>
      <c r="M26" s="17" t="s">
        <v>272</v>
      </c>
      <c r="N26" s="17"/>
    </row>
    <row r="27" customFormat="false" ht="96" hidden="false" customHeight="true" outlineLevel="0" collapsed="false">
      <c r="A27" s="18" t="s">
        <v>273</v>
      </c>
      <c r="B27" s="16" t="s">
        <v>254</v>
      </c>
      <c r="C27" s="18" t="s">
        <v>274</v>
      </c>
      <c r="D27" s="18"/>
      <c r="E27" s="16" t="s">
        <v>275</v>
      </c>
      <c r="F27" s="16" t="s">
        <v>276</v>
      </c>
      <c r="G27" s="16" t="s">
        <v>277</v>
      </c>
      <c r="H27" s="16" t="s">
        <v>278</v>
      </c>
      <c r="I27" s="16" t="s">
        <v>279</v>
      </c>
      <c r="J27" s="15" t="n">
        <v>1</v>
      </c>
      <c r="K27" s="16" t="str">
        <f aca="false">IF(J27="","",CHOOSE(J27+1,"1 - Ad hoc","2 - Developing","3 - Defined","4 - Managed"))</f>
        <v>2 - Developing</v>
      </c>
      <c r="L27" s="17" t="s">
        <v>280</v>
      </c>
      <c r="M27" s="17" t="s">
        <v>195</v>
      </c>
      <c r="N27" s="17" t="s">
        <v>281</v>
      </c>
    </row>
    <row r="28" customFormat="false" ht="96" hidden="false" customHeight="true" outlineLevel="0" collapsed="false">
      <c r="A28" s="18" t="s">
        <v>282</v>
      </c>
      <c r="B28" s="16" t="s">
        <v>254</v>
      </c>
      <c r="C28" s="18" t="s">
        <v>283</v>
      </c>
      <c r="D28" s="18"/>
      <c r="E28" s="16" t="s">
        <v>284</v>
      </c>
      <c r="F28" s="16" t="s">
        <v>285</v>
      </c>
      <c r="G28" s="16" t="s">
        <v>286</v>
      </c>
      <c r="H28" s="16" t="s">
        <v>287</v>
      </c>
      <c r="I28" s="16" t="s">
        <v>288</v>
      </c>
      <c r="J28" s="15" t="n">
        <v>2</v>
      </c>
      <c r="K28" s="16" t="str">
        <f aca="false">IF(J28="","",CHOOSE(J28+1,"1 - Ad hoc","2 - Developing","3 - Defined","4 - Managed"))</f>
        <v>3 - Defined</v>
      </c>
      <c r="L28" s="17" t="s">
        <v>289</v>
      </c>
      <c r="M28" s="17" t="s">
        <v>272</v>
      </c>
      <c r="N28" s="17"/>
    </row>
    <row r="29" customFormat="false" ht="96" hidden="false" customHeight="true" outlineLevel="0" collapsed="false">
      <c r="A29" s="18" t="s">
        <v>290</v>
      </c>
      <c r="B29" s="16" t="s">
        <v>254</v>
      </c>
      <c r="C29" s="18" t="s">
        <v>291</v>
      </c>
      <c r="D29" s="18"/>
      <c r="E29" s="16" t="s">
        <v>292</v>
      </c>
      <c r="F29" s="16" t="s">
        <v>293</v>
      </c>
      <c r="G29" s="16" t="s">
        <v>294</v>
      </c>
      <c r="H29" s="16" t="s">
        <v>295</v>
      </c>
      <c r="I29" s="16" t="s">
        <v>296</v>
      </c>
      <c r="J29" s="15" t="n">
        <v>3</v>
      </c>
      <c r="K29" s="16" t="str">
        <f aca="false">IF(J29="","",CHOOSE(J29+1,"1 - Ad hoc","2 - Developing","3 - Defined","4 - Managed"))</f>
        <v>4 - Managed</v>
      </c>
      <c r="L29" s="17" t="s">
        <v>297</v>
      </c>
      <c r="M29" s="17" t="s">
        <v>298</v>
      </c>
      <c r="N29" s="17"/>
    </row>
    <row r="30" customFormat="false" ht="96" hidden="false" customHeight="true" outlineLevel="0" collapsed="false">
      <c r="A30" s="18" t="s">
        <v>299</v>
      </c>
      <c r="B30" s="16" t="s">
        <v>300</v>
      </c>
      <c r="C30" s="18" t="s">
        <v>301</v>
      </c>
      <c r="D30" s="18"/>
      <c r="E30" s="16" t="s">
        <v>302</v>
      </c>
      <c r="F30" s="16" t="s">
        <v>303</v>
      </c>
      <c r="G30" s="16" t="s">
        <v>304</v>
      </c>
      <c r="H30" s="16" t="s">
        <v>305</v>
      </c>
      <c r="I30" s="16" t="s">
        <v>306</v>
      </c>
      <c r="J30" s="15" t="n">
        <v>1</v>
      </c>
      <c r="K30" s="16" t="str">
        <f aca="false">IF(J30="","",CHOOSE(J30+1,"1 - Ad hoc","2 - Developing","3 - Defined","4 - Managed"))</f>
        <v>2 - Developing</v>
      </c>
      <c r="L30" s="17" t="s">
        <v>307</v>
      </c>
      <c r="M30" s="17" t="s">
        <v>308</v>
      </c>
      <c r="N30" s="17" t="s">
        <v>309</v>
      </c>
    </row>
    <row r="31" customFormat="false" ht="96" hidden="false" customHeight="true" outlineLevel="0" collapsed="false">
      <c r="A31" s="18" t="s">
        <v>310</v>
      </c>
      <c r="B31" s="16" t="s">
        <v>300</v>
      </c>
      <c r="C31" s="18" t="s">
        <v>311</v>
      </c>
      <c r="D31" s="18"/>
      <c r="E31" s="16" t="s">
        <v>312</v>
      </c>
      <c r="F31" s="16" t="s">
        <v>313</v>
      </c>
      <c r="G31" s="16" t="s">
        <v>314</v>
      </c>
      <c r="H31" s="16" t="s">
        <v>315</v>
      </c>
      <c r="I31" s="16" t="s">
        <v>316</v>
      </c>
      <c r="J31" s="15" t="n">
        <v>2</v>
      </c>
      <c r="K31" s="16" t="str">
        <f aca="false">IF(J31="","",CHOOSE(J31+1,"1 - Ad hoc","2 - Developing","3 - Defined","4 - Managed"))</f>
        <v>3 - Defined</v>
      </c>
      <c r="L31" s="17" t="s">
        <v>317</v>
      </c>
      <c r="M31" s="17" t="s">
        <v>318</v>
      </c>
      <c r="N31" s="17"/>
    </row>
    <row r="32" customFormat="false" ht="96" hidden="false" customHeight="true" outlineLevel="0" collapsed="false">
      <c r="A32" s="18" t="s">
        <v>319</v>
      </c>
      <c r="B32" s="16" t="s">
        <v>300</v>
      </c>
      <c r="C32" s="18" t="s">
        <v>320</v>
      </c>
      <c r="D32" s="18"/>
      <c r="E32" s="16" t="s">
        <v>321</v>
      </c>
      <c r="F32" s="16" t="s">
        <v>322</v>
      </c>
      <c r="G32" s="16" t="s">
        <v>323</v>
      </c>
      <c r="H32" s="16" t="s">
        <v>324</v>
      </c>
      <c r="I32" s="16" t="s">
        <v>325</v>
      </c>
      <c r="J32" s="15" t="n">
        <v>2</v>
      </c>
      <c r="K32" s="16" t="str">
        <f aca="false">IF(J32="","",CHOOSE(J32+1,"1 - Ad hoc","2 - Developing","3 - Defined","4 - Managed"))</f>
        <v>3 - Defined</v>
      </c>
      <c r="L32" s="17" t="s">
        <v>326</v>
      </c>
      <c r="M32" s="17" t="s">
        <v>186</v>
      </c>
      <c r="N32" s="17"/>
    </row>
    <row r="33" customFormat="false" ht="96" hidden="false" customHeight="true" outlineLevel="0" collapsed="false">
      <c r="A33" s="18" t="s">
        <v>327</v>
      </c>
      <c r="B33" s="16" t="s">
        <v>300</v>
      </c>
      <c r="C33" s="18" t="s">
        <v>328</v>
      </c>
      <c r="D33" s="18"/>
      <c r="E33" s="16" t="s">
        <v>329</v>
      </c>
      <c r="F33" s="16" t="s">
        <v>330</v>
      </c>
      <c r="G33" s="16" t="s">
        <v>331</v>
      </c>
      <c r="H33" s="16" t="s">
        <v>332</v>
      </c>
      <c r="I33" s="16" t="s">
        <v>333</v>
      </c>
      <c r="J33" s="15" t="n">
        <v>1</v>
      </c>
      <c r="K33" s="16" t="str">
        <f aca="false">IF(J33="","",CHOOSE(J33+1,"1 - Ad hoc","2 - Developing","3 - Defined","4 - Managed"))</f>
        <v>2 - Developing</v>
      </c>
      <c r="L33" s="17" t="s">
        <v>334</v>
      </c>
      <c r="M33" s="17" t="s">
        <v>335</v>
      </c>
      <c r="N33" s="17" t="s">
        <v>336</v>
      </c>
    </row>
    <row r="34" customFormat="false" ht="96" hidden="false" customHeight="true" outlineLevel="0" collapsed="false">
      <c r="A34" s="18" t="s">
        <v>337</v>
      </c>
      <c r="B34" s="16" t="s">
        <v>300</v>
      </c>
      <c r="C34" s="18" t="s">
        <v>338</v>
      </c>
      <c r="D34" s="18"/>
      <c r="E34" s="16" t="s">
        <v>339</v>
      </c>
      <c r="F34" s="16" t="s">
        <v>340</v>
      </c>
      <c r="G34" s="16" t="s">
        <v>341</v>
      </c>
      <c r="H34" s="16" t="s">
        <v>342</v>
      </c>
      <c r="I34" s="16" t="s">
        <v>343</v>
      </c>
      <c r="J34" s="15" t="n">
        <v>1</v>
      </c>
      <c r="K34" s="16" t="str">
        <f aca="false">IF(J34="","",CHOOSE(J34+1,"1 - Ad hoc","2 - Developing","3 - Defined","4 - Managed"))</f>
        <v>2 - Developing</v>
      </c>
      <c r="L34" s="17" t="s">
        <v>344</v>
      </c>
      <c r="M34" s="17" t="s">
        <v>345</v>
      </c>
      <c r="N34" s="17" t="s">
        <v>346</v>
      </c>
    </row>
    <row r="35" customFormat="false" ht="96" hidden="false" customHeight="true" outlineLevel="0" collapsed="false">
      <c r="A35" s="18" t="s">
        <v>347</v>
      </c>
      <c r="B35" s="16" t="s">
        <v>348</v>
      </c>
      <c r="C35" s="18" t="s">
        <v>349</v>
      </c>
      <c r="D35" s="18"/>
      <c r="E35" s="16" t="s">
        <v>350</v>
      </c>
      <c r="F35" s="16" t="s">
        <v>351</v>
      </c>
      <c r="G35" s="16" t="s">
        <v>352</v>
      </c>
      <c r="H35" s="16" t="s">
        <v>353</v>
      </c>
      <c r="I35" s="16" t="s">
        <v>354</v>
      </c>
      <c r="J35" s="15" t="n">
        <v>2</v>
      </c>
      <c r="K35" s="16" t="str">
        <f aca="false">IF(J35="","",CHOOSE(J35+1,"1 - Ad hoc","2 - Developing","3 - Defined","4 - Managed"))</f>
        <v>3 - Defined</v>
      </c>
      <c r="L35" s="17" t="s">
        <v>355</v>
      </c>
      <c r="M35" s="17" t="s">
        <v>356</v>
      </c>
      <c r="N35" s="17"/>
    </row>
    <row r="36" customFormat="false" ht="96" hidden="false" customHeight="true" outlineLevel="0" collapsed="false">
      <c r="A36" s="18" t="s">
        <v>357</v>
      </c>
      <c r="B36" s="16" t="s">
        <v>348</v>
      </c>
      <c r="C36" s="18" t="s">
        <v>358</v>
      </c>
      <c r="D36" s="18"/>
      <c r="E36" s="16" t="s">
        <v>359</v>
      </c>
      <c r="F36" s="16" t="s">
        <v>360</v>
      </c>
      <c r="G36" s="16" t="s">
        <v>352</v>
      </c>
      <c r="H36" s="16" t="s">
        <v>361</v>
      </c>
      <c r="I36" s="16" t="s">
        <v>362</v>
      </c>
      <c r="J36" s="15" t="n">
        <v>2</v>
      </c>
      <c r="K36" s="16" t="str">
        <f aca="false">IF(J36="","",CHOOSE(J36+1,"1 - Ad hoc","2 - Developing","3 - Defined","4 - Managed"))</f>
        <v>3 - Defined</v>
      </c>
      <c r="L36" s="17" t="s">
        <v>363</v>
      </c>
      <c r="M36" s="17" t="s">
        <v>364</v>
      </c>
      <c r="N36" s="17"/>
    </row>
    <row r="37" customFormat="false" ht="96" hidden="false" customHeight="true" outlineLevel="0" collapsed="false">
      <c r="A37" s="18" t="s">
        <v>365</v>
      </c>
      <c r="B37" s="16" t="s">
        <v>348</v>
      </c>
      <c r="C37" s="18" t="s">
        <v>366</v>
      </c>
      <c r="D37" s="18"/>
      <c r="E37" s="16" t="s">
        <v>367</v>
      </c>
      <c r="F37" s="16" t="s">
        <v>368</v>
      </c>
      <c r="G37" s="16" t="s">
        <v>369</v>
      </c>
      <c r="H37" s="16" t="s">
        <v>370</v>
      </c>
      <c r="I37" s="16" t="s">
        <v>371</v>
      </c>
      <c r="J37" s="15" t="n">
        <v>2</v>
      </c>
      <c r="K37" s="16" t="str">
        <f aca="false">IF(J37="","",CHOOSE(J37+1,"1 - Ad hoc","2 - Developing","3 - Defined","4 - Managed"))</f>
        <v>3 - Defined</v>
      </c>
      <c r="L37" s="17" t="s">
        <v>372</v>
      </c>
      <c r="M37" s="17" t="s">
        <v>373</v>
      </c>
      <c r="N37" s="17"/>
    </row>
    <row r="38" customFormat="false" ht="96" hidden="false" customHeight="true" outlineLevel="0" collapsed="false">
      <c r="A38" s="18" t="s">
        <v>374</v>
      </c>
      <c r="B38" s="16" t="s">
        <v>348</v>
      </c>
      <c r="C38" s="18" t="s">
        <v>375</v>
      </c>
      <c r="D38" s="18"/>
      <c r="E38" s="16" t="s">
        <v>376</v>
      </c>
      <c r="F38" s="16" t="s">
        <v>377</v>
      </c>
      <c r="G38" s="16" t="s">
        <v>378</v>
      </c>
      <c r="H38" s="16" t="s">
        <v>379</v>
      </c>
      <c r="I38" s="16" t="s">
        <v>380</v>
      </c>
      <c r="J38" s="15" t="n">
        <v>2</v>
      </c>
      <c r="K38" s="16" t="str">
        <f aca="false">IF(J38="","",CHOOSE(J38+1,"1 - Ad hoc","2 - Developing","3 - Defined","4 - Managed"))</f>
        <v>3 - Defined</v>
      </c>
      <c r="L38" s="17" t="s">
        <v>381</v>
      </c>
      <c r="M38" s="17" t="s">
        <v>83</v>
      </c>
      <c r="N38" s="17"/>
    </row>
    <row r="39" customFormat="false" ht="96" hidden="false" customHeight="true" outlineLevel="0" collapsed="false">
      <c r="A39" s="18" t="s">
        <v>382</v>
      </c>
      <c r="B39" s="16" t="s">
        <v>348</v>
      </c>
      <c r="C39" s="18" t="s">
        <v>383</v>
      </c>
      <c r="D39" s="18"/>
      <c r="E39" s="16" t="s">
        <v>384</v>
      </c>
      <c r="F39" s="16" t="s">
        <v>385</v>
      </c>
      <c r="G39" s="16" t="s">
        <v>386</v>
      </c>
      <c r="H39" s="16" t="s">
        <v>387</v>
      </c>
      <c r="I39" s="16" t="s">
        <v>388</v>
      </c>
      <c r="J39" s="15" t="n">
        <v>2</v>
      </c>
      <c r="K39" s="16" t="str">
        <f aca="false">IF(J39="","",CHOOSE(J39+1,"1 - Ad hoc","2 - Developing","3 - Defined","4 - Managed"))</f>
        <v>3 - Defined</v>
      </c>
      <c r="L39" s="17" t="s">
        <v>389</v>
      </c>
      <c r="M39" s="17" t="s">
        <v>390</v>
      </c>
      <c r="N39" s="17"/>
    </row>
    <row r="40" customFormat="false" ht="96" hidden="false" customHeight="true" outlineLevel="0" collapsed="false">
      <c r="A40" s="18" t="s">
        <v>391</v>
      </c>
      <c r="B40" s="16" t="s">
        <v>348</v>
      </c>
      <c r="C40" s="18" t="s">
        <v>392</v>
      </c>
      <c r="D40" s="18"/>
      <c r="E40" s="16" t="s">
        <v>393</v>
      </c>
      <c r="F40" s="16" t="s">
        <v>394</v>
      </c>
      <c r="G40" s="16" t="s">
        <v>395</v>
      </c>
      <c r="H40" s="16" t="s">
        <v>396</v>
      </c>
      <c r="I40" s="16" t="s">
        <v>397</v>
      </c>
      <c r="J40" s="15" t="n">
        <v>2</v>
      </c>
      <c r="K40" s="16" t="str">
        <f aca="false">IF(J40="","",CHOOSE(J40+1,"1 - Ad hoc","2 - Developing","3 - Defined","4 - Managed"))</f>
        <v>3 - Defined</v>
      </c>
      <c r="L40" s="17" t="s">
        <v>398</v>
      </c>
      <c r="M40" s="17" t="s">
        <v>399</v>
      </c>
      <c r="N40" s="17"/>
    </row>
  </sheetData>
  <autoFilter ref="A3:N40"/>
  <conditionalFormatting sqref="J4:J40">
    <cfRule type="cellIs" priority="2" operator="equal" aboveAverage="0" equalAverage="0" bottom="0" percent="0" rank="0" text="" dxfId="6">
      <formula>0</formula>
    </cfRule>
  </conditionalFormatting>
  <dataValidations count="1">
    <dataValidation allowBlank="true" error="Scores are whole numbers from 0 to 3." errorStyle="stop" errorTitle="Score" operator="between" showDropDown="false" showErrorMessage="false" showInputMessage="false" sqref="J4:J40" type="whole">
      <formula1>0</formula1>
      <formula2>3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3"/>
  </cols>
  <sheetData>
    <row r="2" customFormat="false" ht="19.7" hidden="false" customHeight="false" outlineLevel="0" collapsed="false">
      <c r="B2" s="1" t="s">
        <v>400</v>
      </c>
    </row>
    <row r="3" customFormat="false" ht="15" hidden="false" customHeight="false" outlineLevel="0" collapsed="false">
      <c r="B3" s="19" t="str">
        <f aca="false">'Start here'!C7</f>
        <v>Invoice-matching agent, accounts payable (fictional)</v>
      </c>
    </row>
    <row r="5" customFormat="false" ht="15" hidden="false" customHeight="false" outlineLevel="0" collapsed="false">
      <c r="B5" s="20" t="s">
        <v>41</v>
      </c>
      <c r="C5" s="20" t="s">
        <v>401</v>
      </c>
      <c r="D5" s="20" t="s">
        <v>402</v>
      </c>
      <c r="E5" s="20" t="s">
        <v>403</v>
      </c>
      <c r="F5" s="20" t="s">
        <v>404</v>
      </c>
      <c r="G5" s="20" t="s">
        <v>50</v>
      </c>
    </row>
    <row r="6" customFormat="false" ht="15" hidden="false" customHeight="false" outlineLevel="0" collapsed="false">
      <c r="B6" s="21" t="s">
        <v>55</v>
      </c>
      <c r="C6" s="22" t="n">
        <f aca="false">COUNTIF(Scorecard!$B$4:$B$40,B6)</f>
        <v>6</v>
      </c>
      <c r="D6" s="22" t="n">
        <f aca="false">SUMPRODUCT((Scorecard!$B$4:$B$40=B6)*ISNUMBER(Scorecard!$J$4:$J$40))</f>
        <v>6</v>
      </c>
      <c r="E6" s="22" t="n">
        <f aca="false">C6*3</f>
        <v>18</v>
      </c>
      <c r="F6" s="22" t="n">
        <f aca="false">SUMIF(Scorecard!$B$4:$B$40,B6,Scorecard!$J$4:$J$40)</f>
        <v>13</v>
      </c>
      <c r="G6" s="22" t="str">
        <f aca="false">IF(D6&lt;C6,"Incomplete",CHOOSE(ROUNDDOWN(F6/C6,0)+1,"1 - Ad hoc","2 - Developing","3 - Defined","4 - Managed"))</f>
        <v>3 - Defined</v>
      </c>
    </row>
    <row r="7" customFormat="false" ht="15" hidden="false" customHeight="false" outlineLevel="0" collapsed="false">
      <c r="B7" s="21" t="s">
        <v>113</v>
      </c>
      <c r="C7" s="22" t="n">
        <f aca="false">COUNTIF(Scorecard!$B$4:$B$40,B7)</f>
        <v>5</v>
      </c>
      <c r="D7" s="22" t="n">
        <f aca="false">SUMPRODUCT((Scorecard!$B$4:$B$40=B7)*ISNUMBER(Scorecard!$J$4:$J$40))</f>
        <v>5</v>
      </c>
      <c r="E7" s="22" t="n">
        <f aca="false">C7*3</f>
        <v>15</v>
      </c>
      <c r="F7" s="22" t="n">
        <f aca="false">SUMIF(Scorecard!$B$4:$B$40,B7,Scorecard!$J$4:$J$40)</f>
        <v>9</v>
      </c>
      <c r="G7" s="22" t="str">
        <f aca="false">IF(D7&lt;C7,"Incomplete",CHOOSE(ROUNDDOWN(F7/C7,0)+1,"1 - Ad hoc","2 - Developing","3 - Defined","4 - Managed"))</f>
        <v>2 - Developing</v>
      </c>
    </row>
    <row r="8" customFormat="false" ht="15" hidden="false" customHeight="false" outlineLevel="0" collapsed="false">
      <c r="B8" s="21" t="s">
        <v>160</v>
      </c>
      <c r="C8" s="22" t="n">
        <f aca="false">COUNTIF(Scorecard!$B$4:$B$40,B8)</f>
        <v>5</v>
      </c>
      <c r="D8" s="22" t="n">
        <f aca="false">SUMPRODUCT((Scorecard!$B$4:$B$40=B8)*ISNUMBER(Scorecard!$J$4:$J$40))</f>
        <v>5</v>
      </c>
      <c r="E8" s="22" t="n">
        <f aca="false">C8*3</f>
        <v>15</v>
      </c>
      <c r="F8" s="22" t="n">
        <f aca="false">SUMIF(Scorecard!$B$4:$B$40,B8,Scorecard!$J$4:$J$40)</f>
        <v>9</v>
      </c>
      <c r="G8" s="22" t="str">
        <f aca="false">IF(D8&lt;C8,"Incomplete",CHOOSE(ROUNDDOWN(F8/C8,0)+1,"1 - Ad hoc","2 - Developing","3 - Defined","4 - Managed"))</f>
        <v>2 - Developing</v>
      </c>
    </row>
    <row r="9" customFormat="false" ht="15" hidden="false" customHeight="false" outlineLevel="0" collapsed="false">
      <c r="B9" s="21" t="s">
        <v>207</v>
      </c>
      <c r="C9" s="22" t="n">
        <f aca="false">COUNTIF(Scorecard!$B$4:$B$40,B9)</f>
        <v>5</v>
      </c>
      <c r="D9" s="22" t="n">
        <f aca="false">SUMPRODUCT((Scorecard!$B$4:$B$40=B9)*ISNUMBER(Scorecard!$J$4:$J$40))</f>
        <v>5</v>
      </c>
      <c r="E9" s="22" t="n">
        <f aca="false">C9*3</f>
        <v>15</v>
      </c>
      <c r="F9" s="22" t="n">
        <f aca="false">SUMIF(Scorecard!$B$4:$B$40,B9,Scorecard!$J$4:$J$40)</f>
        <v>9</v>
      </c>
      <c r="G9" s="22" t="str">
        <f aca="false">IF(D9&lt;C9,"Incomplete",CHOOSE(ROUNDDOWN(F9/C9,0)+1,"1 - Ad hoc","2 - Developing","3 - Defined","4 - Managed"))</f>
        <v>2 - Developing</v>
      </c>
    </row>
    <row r="10" customFormat="false" ht="15" hidden="false" customHeight="false" outlineLevel="0" collapsed="false">
      <c r="B10" s="21" t="s">
        <v>254</v>
      </c>
      <c r="C10" s="22" t="n">
        <f aca="false">COUNTIF(Scorecard!$B$4:$B$40,B10)</f>
        <v>5</v>
      </c>
      <c r="D10" s="22" t="n">
        <f aca="false">SUMPRODUCT((Scorecard!$B$4:$B$40=B10)*ISNUMBER(Scorecard!$J$4:$J$40))</f>
        <v>5</v>
      </c>
      <c r="E10" s="22" t="n">
        <f aca="false">C10*3</f>
        <v>15</v>
      </c>
      <c r="F10" s="22" t="n">
        <f aca="false">SUMIF(Scorecard!$B$4:$B$40,B10,Scorecard!$J$4:$J$40)</f>
        <v>9</v>
      </c>
      <c r="G10" s="22" t="str">
        <f aca="false">IF(D10&lt;C10,"Incomplete",CHOOSE(ROUNDDOWN(F10/C10,0)+1,"1 - Ad hoc","2 - Developing","3 - Defined","4 - Managed"))</f>
        <v>2 - Developing</v>
      </c>
    </row>
    <row r="11" customFormat="false" ht="15" hidden="false" customHeight="false" outlineLevel="0" collapsed="false">
      <c r="B11" s="21" t="s">
        <v>300</v>
      </c>
      <c r="C11" s="22" t="n">
        <f aca="false">COUNTIF(Scorecard!$B$4:$B$40,B11)</f>
        <v>5</v>
      </c>
      <c r="D11" s="22" t="n">
        <f aca="false">SUMPRODUCT((Scorecard!$B$4:$B$40=B11)*ISNUMBER(Scorecard!$J$4:$J$40))</f>
        <v>5</v>
      </c>
      <c r="E11" s="22" t="n">
        <f aca="false">C11*3</f>
        <v>15</v>
      </c>
      <c r="F11" s="22" t="n">
        <f aca="false">SUMIF(Scorecard!$B$4:$B$40,B11,Scorecard!$J$4:$J$40)</f>
        <v>7</v>
      </c>
      <c r="G11" s="22" t="str">
        <f aca="false">IF(D11&lt;C11,"Incomplete",CHOOSE(ROUNDDOWN(F11/C11,0)+1,"1 - Ad hoc","2 - Developing","3 - Defined","4 - Managed"))</f>
        <v>2 - Developing</v>
      </c>
    </row>
    <row r="12" customFormat="false" ht="15" hidden="false" customHeight="false" outlineLevel="0" collapsed="false">
      <c r="B12" s="21" t="s">
        <v>348</v>
      </c>
      <c r="C12" s="22" t="n">
        <f aca="false">COUNTIF(Scorecard!$B$4:$B$40,B12)</f>
        <v>6</v>
      </c>
      <c r="D12" s="22" t="n">
        <f aca="false">SUMPRODUCT((Scorecard!$B$4:$B$40=B12)*ISNUMBER(Scorecard!$J$4:$J$40))</f>
        <v>6</v>
      </c>
      <c r="E12" s="22" t="n">
        <f aca="false">C12*3</f>
        <v>18</v>
      </c>
      <c r="F12" s="22" t="n">
        <f aca="false">SUMIF(Scorecard!$B$4:$B$40,B12,Scorecard!$J$4:$J$40)</f>
        <v>12</v>
      </c>
      <c r="G12" s="22" t="str">
        <f aca="false">IF(D12&lt;C12,"Incomplete",CHOOSE(ROUNDDOWN(F12/C12,0)+1,"1 - Ad hoc","2 - Developing","3 - Defined","4 - Managed"))</f>
        <v>3 - Defined</v>
      </c>
    </row>
    <row r="13" customFormat="false" ht="15" hidden="false" customHeight="false" outlineLevel="0" collapsed="false">
      <c r="B13" s="23" t="s">
        <v>405</v>
      </c>
      <c r="C13" s="24" t="n">
        <f aca="false">SUM(C6:C12)</f>
        <v>37</v>
      </c>
      <c r="D13" s="24" t="n">
        <f aca="false">SUM(D6:D12)</f>
        <v>37</v>
      </c>
      <c r="E13" s="24" t="n">
        <f aca="false">SUM(E6:E12)</f>
        <v>111</v>
      </c>
      <c r="F13" s="24" t="n">
        <f aca="false">SUM(F6:F12)</f>
        <v>68</v>
      </c>
      <c r="G13" s="24"/>
    </row>
    <row r="15" customFormat="false" ht="15" hidden="false" customHeight="false" outlineLevel="0" collapsed="false">
      <c r="B15" s="4" t="s">
        <v>406</v>
      </c>
    </row>
    <row r="16" customFormat="false" ht="15" hidden="false" customHeight="false" outlineLevel="0" collapsed="false">
      <c r="B16" s="25" t="s">
        <v>407</v>
      </c>
      <c r="C16" s="25"/>
      <c r="D16" s="25"/>
      <c r="E16" s="25"/>
      <c r="F16" s="26" t="n">
        <f aca="false">IFERROR(IF(INDEX(Scorecard!$J$4:$J$40,MATCH("1.1",Scorecard!$A$4:$A$40,0))="","",INDEX(Scorecard!$J$4:$J$40,MATCH("1.1",Scorecard!$A$4:$A$40,0))),"")</f>
        <v>2</v>
      </c>
    </row>
    <row r="17" customFormat="false" ht="15" hidden="false" customHeight="false" outlineLevel="0" collapsed="false">
      <c r="B17" s="25" t="s">
        <v>408</v>
      </c>
      <c r="C17" s="25"/>
      <c r="D17" s="25"/>
      <c r="E17" s="25"/>
      <c r="F17" s="26" t="n">
        <f aca="false">IFERROR(IF(INDEX(Scorecard!$J$4:$J$40,MATCH("1.2",Scorecard!$A$4:$A$40,0))="","",INDEX(Scorecard!$J$4:$J$40,MATCH("1.2",Scorecard!$A$4:$A$40,0))),"")</f>
        <v>2</v>
      </c>
    </row>
    <row r="18" customFormat="false" ht="15" hidden="false" customHeight="false" outlineLevel="0" collapsed="false">
      <c r="B18" s="25" t="s">
        <v>409</v>
      </c>
      <c r="C18" s="25"/>
      <c r="D18" s="25"/>
      <c r="E18" s="25"/>
      <c r="F18" s="26" t="n">
        <f aca="false">IFERROR(IF(INDEX(Scorecard!$J$4:$J$40,MATCH("1.5",Scorecard!$A$4:$A$40,0))="","",INDEX(Scorecard!$J$4:$J$40,MATCH("1.5",Scorecard!$A$4:$A$40,0))),"")</f>
        <v>2</v>
      </c>
    </row>
    <row r="19" customFormat="false" ht="15" hidden="false" customHeight="false" outlineLevel="0" collapsed="false">
      <c r="B19" s="25" t="s">
        <v>410</v>
      </c>
      <c r="C19" s="25"/>
      <c r="D19" s="25"/>
      <c r="E19" s="25"/>
      <c r="F19" s="26" t="n">
        <f aca="false">IFERROR(IF(INDEX(Scorecard!$J$4:$J$40,MATCH("4.1",Scorecard!$A$4:$A$40,0))="","",INDEX(Scorecard!$J$4:$J$40,MATCH("4.1",Scorecard!$A$4:$A$40,0))),"")</f>
        <v>2</v>
      </c>
    </row>
    <row r="20" customFormat="false" ht="15" hidden="false" customHeight="false" outlineLevel="0" collapsed="false">
      <c r="B20" s="25" t="s">
        <v>411</v>
      </c>
      <c r="C20" s="25"/>
      <c r="D20" s="25"/>
      <c r="E20" s="25"/>
      <c r="F20" s="26" t="n">
        <f aca="false">IFERROR(IF(INDEX(Scorecard!$J$4:$J$40,MATCH("5.1",Scorecard!$A$4:$A$40,0))="","",INDEX(Scorecard!$J$4:$J$40,MATCH("5.1",Scorecard!$A$4:$A$40,0))),"")</f>
        <v>1</v>
      </c>
    </row>
    <row r="21" customFormat="false" ht="15" hidden="false" customHeight="false" outlineLevel="0" collapsed="false">
      <c r="B21" s="25" t="s">
        <v>412</v>
      </c>
      <c r="C21" s="25"/>
      <c r="D21" s="25"/>
      <c r="E21" s="25"/>
      <c r="F21" s="26" t="n">
        <f aca="false">IFERROR(IF(INDEX(Scorecard!$J$4:$J$40,MATCH("5.2",Scorecard!$A$4:$A$40,0))="","",INDEX(Scorecard!$J$4:$J$40,MATCH("5.2",Scorecard!$A$4:$A$40,0))),"")</f>
        <v>2</v>
      </c>
    </row>
    <row r="23" customFormat="false" ht="15" hidden="false" customHeight="false" outlineLevel="0" collapsed="false">
      <c r="B23" s="21" t="s">
        <v>413</v>
      </c>
      <c r="C23" s="27" t="n">
        <f aca="false">COUNT(Scorecard!$J$4:$J$40)</f>
        <v>37</v>
      </c>
      <c r="D23" s="27"/>
      <c r="E23" s="27"/>
      <c r="F23" s="27"/>
      <c r="G23" s="27"/>
    </row>
    <row r="24" customFormat="false" ht="15" hidden="false" customHeight="false" outlineLevel="0" collapsed="false">
      <c r="B24" s="21" t="s">
        <v>414</v>
      </c>
      <c r="C24" s="27" t="n">
        <f aca="false">SUM(Scorecard!$J$4:$J$40)</f>
        <v>68</v>
      </c>
      <c r="D24" s="27"/>
      <c r="E24" s="27"/>
      <c r="F24" s="27"/>
      <c r="G24" s="27"/>
    </row>
    <row r="25" customFormat="false" ht="15" hidden="false" customHeight="false" outlineLevel="0" collapsed="false">
      <c r="B25" s="21" t="s">
        <v>415</v>
      </c>
      <c r="C25" s="27" t="n">
        <f aca="false">IF(COUNT(F16:F21)&lt;6,"",MIN(F16:F21))</f>
        <v>1</v>
      </c>
      <c r="D25" s="27"/>
      <c r="E25" s="27"/>
      <c r="F25" s="27"/>
      <c r="G25" s="27"/>
    </row>
    <row r="26" customFormat="false" ht="15" hidden="false" customHeight="false" outlineLevel="0" collapsed="false">
      <c r="B26" s="21" t="s">
        <v>416</v>
      </c>
      <c r="C26" s="27" t="n">
        <f aca="false">COUNTIF(Scorecard!$J$4:$J$40,0)</f>
        <v>0</v>
      </c>
      <c r="D26" s="27"/>
      <c r="E26" s="27"/>
      <c r="F26" s="27"/>
      <c r="G26" s="27"/>
    </row>
    <row r="27" customFormat="false" ht="15" hidden="false" customHeight="false" outlineLevel="0" collapsed="false">
      <c r="B27" s="21" t="s">
        <v>417</v>
      </c>
      <c r="C27" s="27" t="str">
        <f aca="false">IF(C24&gt;=84,"Production-ready",IF(C24&gt;=56,"Pilot-ready","Not ready"))</f>
        <v>Pilot-ready</v>
      </c>
      <c r="D27" s="27"/>
      <c r="E27" s="27"/>
      <c r="F27" s="27"/>
      <c r="G27" s="27"/>
    </row>
    <row r="29" customFormat="false" ht="18" hidden="false" customHeight="true" outlineLevel="0" collapsed="false">
      <c r="B29" s="28" t="s">
        <v>418</v>
      </c>
      <c r="C29" s="29" t="str">
        <f aca="false">IF(C23&lt;37,"Incomplete",IF(OR(C25=0,C24&lt;56),"Not ready",IF(AND(C24&gt;=95,C25=3,C26=0),"Expanded-ready",IF(AND(C24&gt;=84,C25&gt;=2,C26=0),"Production-ready","Pilot-ready"))))</f>
        <v>Pilot-ready</v>
      </c>
      <c r="D29" s="29"/>
      <c r="E29" s="29"/>
      <c r="F29" s="29"/>
      <c r="G29" s="29"/>
    </row>
    <row r="30" customFormat="false" ht="30" hidden="false" customHeight="true" outlineLevel="0" collapsed="false">
      <c r="B30" s="28" t="s">
        <v>419</v>
      </c>
      <c r="C30" s="30" t="str">
        <f aca="false">IF(C23&lt;37,"",IF(C29="Expanded-ready","No",IF(C29&lt;&gt;C27,"Yes: the gates or a criterion at 0 hold the band below what the total alone would give","No")))</f>
        <v>No</v>
      </c>
      <c r="D30" s="30"/>
      <c r="E30" s="30"/>
      <c r="F30" s="30"/>
      <c r="G30" s="30"/>
    </row>
    <row r="31" customFormat="false" ht="18" hidden="false" customHeight="true" outlineLevel="0" collapsed="false">
      <c r="B31" s="28" t="s">
        <v>420</v>
      </c>
      <c r="C31" s="30" t="str">
        <f aca="false">IF(C29="Incomplete","Score all 37 criteria first",INDEX(Reference!$D$12:$D$15,MATCH(C29,Reference!$A$12:$A$15,0)))</f>
        <v>Recommend, or act with approval in a limited scope</v>
      </c>
      <c r="D31" s="30"/>
      <c r="E31" s="30"/>
      <c r="F31" s="30"/>
      <c r="G31" s="30"/>
    </row>
    <row r="32" customFormat="false" ht="18" hidden="false" customHeight="true" outlineLevel="0" collapsed="false">
      <c r="B32" s="28" t="s">
        <v>12</v>
      </c>
      <c r="C32" s="30" t="str">
        <f aca="false">IF(HeldState="","Enter it on Start here",HeldState)</f>
        <v>Recommend</v>
      </c>
      <c r="D32" s="30"/>
      <c r="E32" s="30"/>
      <c r="F32" s="30"/>
      <c r="G32" s="30"/>
    </row>
    <row r="33" customFormat="false" ht="48" hidden="false" customHeight="true" outlineLevel="0" collapsed="false">
      <c r="B33" s="28" t="s">
        <v>421</v>
      </c>
      <c r="C33" s="30" t="str">
        <f aca="false">IF(HeldState="","",IF(C29="Incomplete","",IF(INDEX(Reference!$B$4:$B$8,MATCH(HeldState,Reference!$A$4:$A$8,0))&gt;INDEX(Reference!$E$12:$E$15,MATCH(C29,Reference!$A$12:$A$15,0)),"GAP: the system holds more authority than its band allows. The authority owner restricts it now or accepts the gap in writing within one week.","Within band: the system holds no more authority than its evidence allows.")))</f>
        <v>Within band: the system holds no more authority than its evidence allows.</v>
      </c>
      <c r="D33" s="30"/>
      <c r="E33" s="30"/>
      <c r="F33" s="30"/>
      <c r="G33" s="30"/>
    </row>
    <row r="34" customFormat="false" ht="48" hidden="false" customHeight="true" outlineLevel="0" collapsed="false">
      <c r="B34" s="28" t="s">
        <v>422</v>
      </c>
      <c r="C34" s="30" t="str">
        <f aca="false">IF(C29="Incomplete","",INDEX(Reference!$F$12:$F$15,MATCH(C29,Reference!$A$12:$A$15,0)))</f>
        <v>Run a bounded pilot: recommend or act with approval in one market, one action type, capped volume. Build the missing evidence, especially 3.5, 4.4 and 4.5. Lift every gate to 2. Re-score before any request to expand scope.</v>
      </c>
      <c r="D34" s="30"/>
      <c r="E34" s="30"/>
      <c r="F34" s="30"/>
      <c r="G34" s="30"/>
    </row>
    <row r="36" customFormat="false" ht="15" hidden="false" customHeight="false" outlineLevel="0" collapsed="false">
      <c r="B36" s="31" t="s">
        <v>423</v>
      </c>
      <c r="C36" s="31"/>
      <c r="D36" s="31"/>
      <c r="E36" s="31"/>
      <c r="F36" s="31"/>
      <c r="G36" s="31"/>
    </row>
  </sheetData>
  <mergeCells count="18">
    <mergeCell ref="B16:E16"/>
    <mergeCell ref="B17:E17"/>
    <mergeCell ref="B18:E18"/>
    <mergeCell ref="B19:E19"/>
    <mergeCell ref="B20:E20"/>
    <mergeCell ref="B21:E21"/>
    <mergeCell ref="C23:G23"/>
    <mergeCell ref="C24:G24"/>
    <mergeCell ref="C25:G25"/>
    <mergeCell ref="C26:G26"/>
    <mergeCell ref="C27:G27"/>
    <mergeCell ref="C29:G29"/>
    <mergeCell ref="C30:G30"/>
    <mergeCell ref="C31:G31"/>
    <mergeCell ref="C32:G32"/>
    <mergeCell ref="C33:G33"/>
    <mergeCell ref="C34:G34"/>
    <mergeCell ref="B36:G36"/>
  </mergeCells>
  <conditionalFormatting sqref="C29">
    <cfRule type="expression" priority="2" aboveAverage="0" equalAverage="0" bottom="0" percent="0" rank="0" text="" dxfId="6">
      <formula>C29="Not ready"</formula>
    </cfRule>
    <cfRule type="expression" priority="3" aboveAverage="0" equalAverage="0" bottom="0" percent="0" rank="0" text="" dxfId="7">
      <formula>C29="Pilot-ready"</formula>
    </cfRule>
    <cfRule type="expression" priority="4" aboveAverage="0" equalAverage="0" bottom="0" percent="0" rank="0" text="" dxfId="8">
      <formula>C29="Production-ready"</formula>
    </cfRule>
    <cfRule type="expression" priority="5" aboveAverage="0" equalAverage="0" bottom="0" percent="0" rank="0" text="" dxfId="9">
      <formula>C29="Expanded-ready"</formula>
    </cfRule>
  </conditionalFormatting>
  <conditionalFormatting sqref="C33">
    <cfRule type="expression" priority="6" aboveAverage="0" equalAverage="0" bottom="0" percent="0" rank="0" text="" dxfId="10">
      <formula>LEFT(C33,4)="GAP:"</formula>
    </cfRule>
  </conditionalFormatting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4" min="3" style="0" width="34"/>
    <col collapsed="false" customWidth="true" hidden="false" outlineLevel="0" max="5" min="5" style="0" width="12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32" t="s">
        <v>424</v>
      </c>
    </row>
    <row r="3" customFormat="false" ht="15" hidden="false" customHeight="false" outlineLevel="0" collapsed="false">
      <c r="A3" s="23" t="s">
        <v>425</v>
      </c>
      <c r="B3" s="23" t="s">
        <v>426</v>
      </c>
      <c r="C3" s="23" t="s">
        <v>427</v>
      </c>
    </row>
    <row r="4" customFormat="false" ht="23.85" hidden="false" customHeight="false" outlineLevel="0" collapsed="false">
      <c r="A4" s="30" t="s">
        <v>428</v>
      </c>
      <c r="B4" s="30" t="n">
        <v>1</v>
      </c>
      <c r="C4" s="30" t="s">
        <v>429</v>
      </c>
    </row>
    <row r="5" customFormat="false" ht="15" hidden="false" customHeight="false" outlineLevel="0" collapsed="false">
      <c r="A5" s="30" t="s">
        <v>13</v>
      </c>
      <c r="B5" s="30" t="n">
        <v>2</v>
      </c>
      <c r="C5" s="30" t="s">
        <v>430</v>
      </c>
    </row>
    <row r="6" customFormat="false" ht="23.85" hidden="false" customHeight="false" outlineLevel="0" collapsed="false">
      <c r="A6" s="30" t="s">
        <v>431</v>
      </c>
      <c r="B6" s="30" t="n">
        <v>3</v>
      </c>
      <c r="C6" s="30" t="s">
        <v>432</v>
      </c>
    </row>
    <row r="7" customFormat="false" ht="35.05" hidden="false" customHeight="false" outlineLevel="0" collapsed="false">
      <c r="A7" s="30" t="s">
        <v>433</v>
      </c>
      <c r="B7" s="30" t="n">
        <v>4</v>
      </c>
      <c r="C7" s="30" t="s">
        <v>434</v>
      </c>
    </row>
    <row r="8" customFormat="false" ht="35.05" hidden="false" customHeight="false" outlineLevel="0" collapsed="false">
      <c r="A8" s="30" t="s">
        <v>435</v>
      </c>
      <c r="B8" s="30" t="n">
        <v>5</v>
      </c>
      <c r="C8" s="30" t="s">
        <v>436</v>
      </c>
    </row>
    <row r="11" customFormat="false" ht="15" hidden="false" customHeight="false" outlineLevel="0" collapsed="false">
      <c r="A11" s="23" t="s">
        <v>437</v>
      </c>
      <c r="B11" s="23" t="s">
        <v>438</v>
      </c>
      <c r="C11" s="23" t="s">
        <v>439</v>
      </c>
      <c r="D11" s="23" t="s">
        <v>420</v>
      </c>
      <c r="E11" s="23" t="s">
        <v>440</v>
      </c>
      <c r="F11" s="23" t="s">
        <v>422</v>
      </c>
    </row>
    <row r="12" customFormat="false" ht="23.85" hidden="false" customHeight="false" outlineLevel="0" collapsed="false">
      <c r="A12" s="30" t="s">
        <v>441</v>
      </c>
      <c r="B12" s="30" t="s">
        <v>442</v>
      </c>
      <c r="C12" s="30" t="s">
        <v>443</v>
      </c>
      <c r="D12" s="30" t="s">
        <v>444</v>
      </c>
      <c r="E12" s="30" t="n">
        <v>1</v>
      </c>
      <c r="F12" s="30" t="s">
        <v>445</v>
      </c>
    </row>
    <row r="13" customFormat="false" ht="35.05" hidden="false" customHeight="false" outlineLevel="0" collapsed="false">
      <c r="A13" s="30" t="s">
        <v>446</v>
      </c>
      <c r="B13" s="30" t="s">
        <v>447</v>
      </c>
      <c r="C13" s="30" t="s">
        <v>448</v>
      </c>
      <c r="D13" s="30" t="s">
        <v>449</v>
      </c>
      <c r="E13" s="30" t="n">
        <v>3</v>
      </c>
      <c r="F13" s="30" t="s">
        <v>450</v>
      </c>
    </row>
    <row r="14" customFormat="false" ht="35.05" hidden="false" customHeight="false" outlineLevel="0" collapsed="false">
      <c r="A14" s="30" t="s">
        <v>451</v>
      </c>
      <c r="B14" s="30" t="s">
        <v>452</v>
      </c>
      <c r="C14" s="30" t="s">
        <v>453</v>
      </c>
      <c r="D14" s="30" t="s">
        <v>454</v>
      </c>
      <c r="E14" s="30" t="n">
        <v>4</v>
      </c>
      <c r="F14" s="30" t="s">
        <v>455</v>
      </c>
    </row>
    <row r="15" customFormat="false" ht="35.05" hidden="false" customHeight="false" outlineLevel="0" collapsed="false">
      <c r="A15" s="30" t="s">
        <v>456</v>
      </c>
      <c r="B15" s="30" t="s">
        <v>457</v>
      </c>
      <c r="C15" s="30" t="s">
        <v>458</v>
      </c>
      <c r="D15" s="30" t="s">
        <v>459</v>
      </c>
      <c r="E15" s="30" t="n">
        <v>5</v>
      </c>
      <c r="F15" s="30" t="s">
        <v>460</v>
      </c>
    </row>
    <row r="17" customFormat="false" ht="15" hidden="false" customHeight="false" outlineLevel="0" collapsed="false">
      <c r="A17" s="33" t="s">
        <v>461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2026-10-27T02:33:25Z</dcterms:created>
  <dc:creator>Nitin Gupta</dc:creator>
  <dc:description/>
  <dc:language>en-US</dc:language>
  <cp:lastModifiedBy/>
  <dcterms:modified xsi:type="dcterms:W3CDTF">2026-10-27T02:33:25Z</dcterms:modified>
  <cp:revision>0</cp:revision>
  <dc:subject/>
  <dc:title>Agentic AI Production Readiness Scorecard workbook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